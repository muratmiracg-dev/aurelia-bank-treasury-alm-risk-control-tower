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f17ef498b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646fe77c57746d2"/>
    <x:sheet xmlns:r="http://schemas.openxmlformats.org/officeDocument/2006/relationships" name="Assumptions" sheetId="2" r:id="R2c001d998e214b0a"/>
    <x:sheet xmlns:r="http://schemas.openxmlformats.org/officeDocument/2006/relationships" name="Balance Sheet" sheetId="3" r:id="R4c5f00fc29a74b55"/>
    <x:sheet xmlns:r="http://schemas.openxmlformats.org/officeDocument/2006/relationships" name="Positions Raw" sheetId="4" r:id="Ra028822a1a274df8"/>
    <x:sheet xmlns:r="http://schemas.openxmlformats.org/officeDocument/2006/relationships" name="Repricing Gap" sheetId="5" r:id="Rbff1f6e00c114311"/>
    <x:sheet xmlns:r="http://schemas.openxmlformats.org/officeDocument/2006/relationships" name="IRRBB EVE" sheetId="6" r:id="R2f9c3bcd401d4451"/>
    <x:sheet xmlns:r="http://schemas.openxmlformats.org/officeDocument/2006/relationships" name="NII Sensitivity" sheetId="7" r:id="Re8498d649e104563"/>
    <x:sheet xmlns:r="http://schemas.openxmlformats.org/officeDocument/2006/relationships" name="Liquidity" sheetId="8" r:id="R0b21fc60ca81473d"/>
    <x:sheet xmlns:r="http://schemas.openxmlformats.org/officeDocument/2006/relationships" name="FX &amp; Hedge" sheetId="9" r:id="Rb3ef797d121c4a7c"/>
    <x:sheet xmlns:r="http://schemas.openxmlformats.org/officeDocument/2006/relationships" name="Controls" sheetId="10" r:id="R11249d17e03e4807"/>
    <x:sheet xmlns:r="http://schemas.openxmlformats.org/officeDocument/2006/relationships" name="Sources" sheetId="11" r:id="Re1f0334f7d5c4880"/>
  </x:sheets>
</x:workbook>
</file>

<file path=xl/comments1.xml><?xml version="1.0" encoding="utf-8"?>
<x:comments xmlns:x="http://schemas.openxmlformats.org/spreadsheetml/2006/main">
  <x:authors>
    <x:author>tc={C98EFE8F-088B-9606-9A45-E7FFDB6B4E80}</x:author>
    <x:author>tc={270A24B8-4951-F9F8-1C31-B4A5E3B1C483}</x:author>
    <x:author>tc={867C2A4C-7032-EFE8-6FE6-86305A326678}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TCMB policy-rate announcement (2026 reference). https://www.tcmb.gov.tr/wps/wcm/connect/tr/tcmb+tr/main+menu/duyurular/basin/2026/duy2026-23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TCMB official exchange rates via e-Devlet, 2026-08-19. https://www.turkiye.gov.tr/doviz-kurlari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Basel Committee, recalibration of IRRBB shocks (d578), effective 2026-01-01. https://www.bis.org/bcbs/publ/d578.pdf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0.0%"/>
    <x:numFmt numFmtId="202" formatCode="0.0000"/>
    <x:numFmt numFmtId="203" formatCode="#,##0.0;[Red](#,##0.0);-"/>
    <x:numFmt numFmtId="204" formatCode="#,##0.000;[Red](#,##0.000);-"/>
    <x:numFmt numFmtId="205" formatCode="0.0%;[Red](0.0%);-"/>
    <x:numFmt numFmtId="206" formatCode="0 &quot;days&quot;"/>
    <x:numFmt numFmtId="207" formatCode="#,##0 &quot;TRY mn&quot;"/>
    <x:numFmt numFmtId="208" formatCode="0.0"/>
    <x:numFmt numFmtId="209" formatCode="#,##0;[Red](#,##0);-"/>
  </x:numFmts>
  <x:fonts count="15">
    <x:font>
      <x:sz val="11"/>
      <x:name val="Carlito"/>
    </x:font>
    <x:font>
      <x:sz val="10"/>
      <x:color rgb="FF172033"/>
      <x:name val="Aptos"/>
    </x:font>
    <x:font>
      <x:b/>
      <x:sz val="20"/>
      <x:color rgb="FFFFFFFF"/>
      <x:name val="Aptos Display"/>
    </x:font>
    <x:font>
      <x:sz val="10"/>
      <x:color rgb="FFD8E5E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i/>
      <x:sz val="10"/>
      <x:color rgb="FF0B1F33"/>
      <x:name val="Aptos"/>
    </x:font>
    <x:font>
      <x:sz val="10"/>
      <x:color rgb="FF008000"/>
      <x:name val="Aptos"/>
    </x:font>
    <x:font>
      <x:b/>
      <x:sz val="10"/>
      <x:color rgb="FF0B1F33"/>
      <x:name val="Aptos"/>
    </x:font>
    <x:font>
      <x:b/>
      <x:sz val="10"/>
      <x:color rgb="FFC2413B"/>
      <x:name val="Aptos"/>
    </x:font>
    <x:font>
      <x:b/>
      <x:sz val="10"/>
      <x:color rgb="FF0E7490"/>
      <x:name val="Aptos"/>
    </x:font>
    <x:font>
      <x:b/>
      <x:sz val="10"/>
      <x:color rgb="FFD97706"/>
      <x:name val="Aptos"/>
    </x:font>
    <x:font>
      <x:b/>
      <x:sz val="12"/>
      <x:color rgb="FFFFFFFF"/>
      <x:name val="Aptos"/>
    </x:font>
    <x:font>
      <x:b/>
      <x:sz val="16"/>
      <x:color rgb="FF0B1F33"/>
      <x:name val="Aptos"/>
    </x:font>
    <x:font>
      <x:b/>
      <x:sz val="12"/>
      <x:color rgb="FF0E749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43652"/>
      </x:patternFill>
    </x:fill>
    <x:fill>
      <x:patternFill patternType="solid">
        <x:fgColor rgb="FFFFF2CC"/>
      </x:patternFill>
    </x:fill>
    <x:fill>
      <x:patternFill patternType="solid">
        <x:fgColor rgb="FF0E7490"/>
      </x:patternFill>
    </x:fill>
    <x:fill>
      <x:patternFill patternType="solid">
        <x:fgColor rgb="FFE6F4F7"/>
      </x:patternFill>
    </x:fill>
    <x:fill>
      <x:patternFill patternType="solid">
        <x:fgColor rgb="FFEAF0F5"/>
      </x:patternFill>
    </x:fill>
    <x:fill>
      <x:patternFill patternType="solid">
        <x:fgColor rgb="FFFDECEC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</x:fills>
  <x:borders count="26">
    <x:border/>
    <x:border>
      <x:bottom style="double">
        <x:color rgb="FF0B1F33"/>
      </x:bottom>
    </x:border>
    <x:border>
      <x:left style="medium">
        <x:color rgb="FFC2413B"/>
      </x:left>
      <x:top style="medium">
        <x:color rgb="FFC2413B"/>
      </x:top>
      <x:bottom style="medium">
        <x:color rgb="FFC2413B"/>
      </x:bottom>
    </x:border>
    <x:border>
      <x:top style="medium">
        <x:color rgb="FFC2413B"/>
      </x:top>
      <x:bottom style="medium">
        <x:color rgb="FFC2413B"/>
      </x:bottom>
    </x:border>
    <x:border>
      <x:right style="medium">
        <x:color rgb="FFC2413B"/>
      </x:right>
      <x:top style="medium">
        <x:color rgb="FFC2413B"/>
      </x:top>
      <x:bottom style="medium">
        <x:color rgb="FFC2413B"/>
      </x:bottom>
    </x:border>
    <x:border>
      <x:left style="medium">
        <x:color rgb="FF0E7490"/>
      </x:left>
      <x:top style="medium">
        <x:color rgb="FF0E7490"/>
      </x:top>
      <x:bottom style="medium">
        <x:color rgb="FF0E7490"/>
      </x:bottom>
    </x:border>
    <x:border>
      <x:top style="medium">
        <x:color rgb="FF0E7490"/>
      </x:top>
      <x:bottom style="medium">
        <x:color rgb="FF0E7490"/>
      </x:bottom>
    </x:border>
    <x:border>
      <x:right style="medium">
        <x:color rgb="FF0E7490"/>
      </x:right>
      <x:top style="medium">
        <x:color rgb="FF0E7490"/>
      </x:top>
      <x:bottom style="medium">
        <x:color rgb="FF0E7490"/>
      </x:bottom>
    </x:border>
    <x:border>
      <x:left style="medium">
        <x:color rgb="FFD97706"/>
      </x:left>
      <x:top style="medium">
        <x:color rgb="FFD97706"/>
      </x:top>
      <x:bottom style="medium">
        <x:color rgb="FFD97706"/>
      </x:bottom>
    </x:border>
    <x:border>
      <x:top style="medium">
        <x:color rgb="FFD97706"/>
      </x:top>
      <x:bottom style="medium">
        <x:color rgb="FFD97706"/>
      </x:bottom>
    </x:border>
    <x:border>
      <x:right style="medium">
        <x:color rgb="FFD97706"/>
      </x:right>
      <x:top style="medium">
        <x:color rgb="FFD97706"/>
      </x:top>
      <x:bottom style="medium">
        <x:color rgb="FFD97706"/>
      </x:bottom>
    </x:border>
    <x:border>
      <x:left style="medium">
        <x:color rgb="FF0B1F33"/>
      </x:left>
      <x:top style="medium">
        <x:color rgb="FF0B1F33"/>
      </x:top>
      <x:bottom style="medium">
        <x:color rgb="FF0B1F33"/>
      </x:bottom>
    </x:border>
    <x:border>
      <x:top style="medium">
        <x:color rgb="FF0B1F33"/>
      </x:top>
      <x:bottom style="medium">
        <x:color rgb="FF0B1F33"/>
      </x:bottom>
    </x:border>
    <x:border>
      <x:right style="medium">
        <x:color rgb="FF0B1F33"/>
      </x:right>
      <x:top style="medium">
        <x:color rgb="FF0B1F33"/>
      </x:top>
      <x:bottom style="medium">
        <x:color rgb="FF0B1F33"/>
      </x:bottom>
    </x:border>
    <x:border>
      <x:left style="medium">
        <x:color rgb="FFC2413B"/>
      </x:left>
      <x:top style="medium">
        <x:color rgb="FFC2413B"/>
      </x:top>
    </x:border>
    <x:border>
      <x:top style="medium">
        <x:color rgb="FFC2413B"/>
      </x:top>
    </x:border>
    <x:border>
      <x:right style="medium">
        <x:color rgb="FFC2413B"/>
      </x:right>
      <x:top style="medium">
        <x:color rgb="FFC2413B"/>
      </x:top>
    </x:border>
    <x:border>
      <x:left style="medium">
        <x:color rgb="FFC2413B"/>
      </x:left>
      <x:bottom style="medium">
        <x:color rgb="FFC2413B"/>
      </x:bottom>
    </x:border>
    <x:border>
      <x:bottom style="medium">
        <x:color rgb="FFC2413B"/>
      </x:bottom>
    </x:border>
    <x:border>
      <x:right style="medium">
        <x:color rgb="FFC2413B"/>
      </x:right>
      <x:bottom style="medium">
        <x:color rgb="FFC2413B"/>
      </x:bottom>
    </x:border>
    <x:border>
      <x:left style="medium">
        <x:color rgb="FFC9D5DF"/>
      </x:left>
      <x:top style="medium">
        <x:color rgb="FFC9D5DF"/>
      </x:top>
    </x:border>
    <x:border>
      <x:top style="medium">
        <x:color rgb="FFC9D5DF"/>
      </x:top>
    </x:border>
    <x:border>
      <x:right style="medium">
        <x:color rgb="FFC9D5DF"/>
      </x:right>
      <x:top style="medium">
        <x:color rgb="FFC9D5DF"/>
      </x:top>
    </x:border>
    <x:border>
      <x:left style="medium">
        <x:color rgb="FFC9D5DF"/>
      </x:left>
      <x:bottom style="medium">
        <x:color rgb="FFC9D5DF"/>
      </x:bottom>
    </x:border>
    <x:border>
      <x:bottom style="medium">
        <x:color rgb="FFC9D5DF"/>
      </x:bottom>
    </x:border>
    <x:border>
      <x:right style="medium">
        <x:color rgb="FFC9D5DF"/>
      </x:right>
      <x:bottom style="medium">
        <x:color rgb="FFC9D5DF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/>
    <x:xf numFmtId="203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4" fontId="1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203" fontId="7" fillId="0" borderId="0" xfId="0" applyNumberFormat="1" applyFont="1" applyFill="1" applyBorder="1"/>
    <x:xf numFmtId="203" fontId="4" fillId="3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/>
    <x:xf numFmtId="203" fontId="8" fillId="7" borderId="1" xfId="0" applyNumberFormat="1" applyFont="1" applyFill="1" applyBorder="1"/>
    <x:xf numFmtId="205" fontId="7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8" borderId="0" xfId="0" applyNumberFormat="1" applyFont="1" applyFill="1" applyBorder="1"/>
    <x:xf numFmtId="201" fontId="1" fillId="8" borderId="0" xfId="0" applyNumberFormat="1" applyFont="1" applyFill="1" applyBorder="1"/>
    <x:xf numFmtId="0" fontId="9" fillId="8" borderId="0" xfId="0" applyNumberFormat="1" applyFont="1" applyFill="1" applyBorder="1"/>
    <x:xf numFmtId="201" fontId="9" fillId="8" borderId="0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201" fontId="9" fillId="8" borderId="4" xfId="0" applyNumberFormat="1" applyFont="1" applyFill="1" applyBorder="1"/>
    <x:xf numFmtId="201" fontId="1" fillId="6" borderId="0" xfId="0" applyNumberFormat="1" applyFont="1" applyFill="1" applyBorder="1"/>
    <x:xf numFmtId="0" fontId="10" fillId="6" borderId="0" xfId="0" applyNumberFormat="1" applyFont="1" applyFill="1" applyBorder="1"/>
    <x:xf numFmtId="201" fontId="10" fillId="6" borderId="0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201" fontId="10" fillId="6" borderId="7" xfId="0" applyNumberFormat="1" applyFont="1" applyFill="1" applyBorder="1"/>
    <x:xf numFmtId="206" fontId="1" fillId="0" borderId="0" xfId="0" applyNumberFormat="1" applyFont="1" applyFill="1" applyBorder="1"/>
    <x:xf numFmtId="0" fontId="1" fillId="9" borderId="0" xfId="0" applyNumberFormat="1" applyFont="1" applyFill="1" applyBorder="1"/>
    <x:xf numFmtId="201" fontId="1" fillId="9" borderId="0" xfId="0" applyNumberFormat="1" applyFont="1" applyFill="1" applyBorder="1"/>
    <x:xf numFmtId="0" fontId="11" fillId="9" borderId="0" xfId="0" applyNumberFormat="1" applyFont="1" applyFill="1" applyBorder="1"/>
    <x:xf numFmtId="201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201" fontId="11" fillId="9" borderId="10" xfId="0" applyNumberFormat="1" applyFont="1" applyFill="1" applyBorder="1"/>
    <x:xf numFmtId="206" fontId="1" fillId="7" borderId="0" xfId="0" applyNumberFormat="1" applyFont="1" applyFill="1" applyBorder="1"/>
    <x:xf numFmtId="206" fontId="8" fillId="7" borderId="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206" fontId="8" fillId="7" borderId="13" xfId="0" applyNumberFormat="1" applyFont="1" applyFill="1" applyBorder="1"/>
    <x:xf numFmtId="206" fontId="1" fillId="8" borderId="0" xfId="0" applyNumberFormat="1" applyFont="1" applyFill="1" applyBorder="1"/>
    <x:xf numFmtId="206" fontId="9" fillId="8" borderId="0" xfId="0" applyNumberFormat="1" applyFont="1" applyFill="1" applyBorder="1"/>
    <x:xf numFmtId="0" fontId="9" fillId="8" borderId="14" xfId="0" applyNumberFormat="1" applyFont="1" applyFill="1" applyBorder="1"/>
    <x:xf numFmtId="0" fontId="9" fillId="8" borderId="15" xfId="0" applyNumberFormat="1" applyFont="1" applyFill="1" applyBorder="1"/>
    <x:xf numFmtId="201" fontId="9" fillId="8" borderId="15" xfId="0" applyNumberFormat="1" applyFont="1" applyFill="1" applyBorder="1"/>
    <x:xf numFmtId="201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206" fontId="9" fillId="8" borderId="18" xfId="0" applyNumberFormat="1" applyFont="1" applyFill="1" applyBorder="1"/>
    <x:xf numFmtId="206" fontId="9" fillId="8" borderId="19" xfId="0" applyNumberFormat="1" applyFont="1" applyFill="1" applyBorder="1"/>
    <x:xf numFmtId="0" fontId="9" fillId="8" borderId="14" xfId="0" applyNumberFormat="1" applyFont="1" applyFill="1" applyBorder="1" applyAlignment="1">
      <x:alignment vertical="center"/>
    </x:xf>
    <x:xf numFmtId="0" fontId="9" fillId="8" borderId="15" xfId="0" applyNumberFormat="1" applyFont="1" applyFill="1" applyBorder="1" applyAlignment="1">
      <x:alignment vertical="center"/>
    </x:xf>
    <x:xf numFmtId="201" fontId="9" fillId="8" borderId="15" xfId="0" applyNumberFormat="1" applyFont="1" applyFill="1" applyBorder="1" applyAlignment="1">
      <x:alignment vertical="center"/>
    </x:xf>
    <x:xf numFmtId="201" fontId="9" fillId="8" borderId="16" xfId="0" applyNumberFormat="1" applyFont="1" applyFill="1" applyBorder="1" applyAlignment="1">
      <x:alignment vertical="center"/>
    </x:xf>
    <x:xf numFmtId="0" fontId="9" fillId="8" borderId="17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206" fontId="9" fillId="8" borderId="18" xfId="0" applyNumberFormat="1" applyFont="1" applyFill="1" applyBorder="1" applyAlignment="1">
      <x:alignment vertical="center"/>
    </x:xf>
    <x:xf numFmtId="206" fontId="9" fillId="8" borderId="19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11" xfId="0" applyNumberFormat="1" applyFont="1" applyFill="1" applyBorder="1"/>
    <x:xf numFmtId="0" fontId="12" fillId="2" borderId="12" xfId="0" applyNumberFormat="1" applyFont="1" applyFill="1" applyBorder="1"/>
    <x:xf numFmtId="0" fontId="12" fillId="2" borderId="13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/>
    <x:xf numFmtId="207" fontId="1" fillId="10" borderId="0" xfId="0" applyNumberFormat="1" applyFont="1" applyFill="1" applyBorder="1"/>
    <x:xf numFmtId="201" fontId="1" fillId="10" borderId="0" xfId="0" applyNumberFormat="1" applyFont="1" applyFill="1" applyBorder="1"/>
    <x:xf numFmtId="0" fontId="1" fillId="10" borderId="0" xfId="0" applyNumberFormat="1" applyFont="1" applyFill="1" applyBorder="1"/>
    <x:xf numFmtId="207" fontId="13" fillId="10" borderId="0" xfId="0" applyNumberFormat="1" applyFont="1" applyFill="1" applyBorder="1"/>
    <x:xf numFmtId="201" fontId="13" fillId="10" borderId="0" xfId="0" applyNumberFormat="1" applyFont="1" applyFill="1" applyBorder="1"/>
    <x:xf numFmtId="0" fontId="13" fillId="10" borderId="0" xfId="0" applyNumberFormat="1" applyFont="1" applyFill="1" applyBorder="1"/>
    <x:xf numFmtId="207" fontId="13" fillId="10" borderId="20" xfId="0" applyNumberFormat="1" applyFont="1" applyFill="1" applyBorder="1"/>
    <x:xf numFmtId="207" fontId="13" fillId="10" borderId="21" xfId="0" applyNumberFormat="1" applyFont="1" applyFill="1" applyBorder="1"/>
    <x:xf numFmtId="201" fontId="13" fillId="10" borderId="21" xfId="0" applyNumberFormat="1" applyFont="1" applyFill="1" applyBorder="1"/>
    <x:xf numFmtId="0" fontId="13" fillId="10" borderId="21" xfId="0" applyNumberFormat="1" applyFont="1" applyFill="1" applyBorder="1"/>
    <x:xf numFmtId="0" fontId="13" fillId="10" borderId="22" xfId="0" applyNumberFormat="1" applyFont="1" applyFill="1" applyBorder="1"/>
    <x:xf numFmtId="207" fontId="13" fillId="10" borderId="23" xfId="0" applyNumberFormat="1" applyFont="1" applyFill="1" applyBorder="1"/>
    <x:xf numFmtId="207" fontId="13" fillId="10" borderId="24" xfId="0" applyNumberFormat="1" applyFont="1" applyFill="1" applyBorder="1"/>
    <x:xf numFmtId="201" fontId="13" fillId="10" borderId="24" xfId="0" applyNumberFormat="1" applyFont="1" applyFill="1" applyBorder="1"/>
    <x:xf numFmtId="0" fontId="13" fillId="10" borderId="24" xfId="0" applyNumberFormat="1" applyFont="1" applyFill="1" applyBorder="1"/>
    <x:xf numFmtId="0" fontId="13" fillId="10" borderId="25" xfId="0" applyNumberFormat="1" applyFont="1" applyFill="1" applyBorder="1"/>
    <x:xf numFmtId="207" fontId="13" fillId="10" borderId="20" xfId="0" applyNumberFormat="1" applyFont="1" applyFill="1" applyBorder="1" applyAlignment="1">
      <x:alignment wrapText="1"/>
    </x:xf>
    <x:xf numFmtId="207" fontId="13" fillId="10" borderId="21" xfId="0" applyNumberFormat="1" applyFont="1" applyFill="1" applyBorder="1" applyAlignment="1">
      <x:alignment wrapText="1"/>
    </x:xf>
    <x:xf numFmtId="201" fontId="13" fillId="10" borderId="21" xfId="0" applyNumberFormat="1" applyFont="1" applyFill="1" applyBorder="1" applyAlignment="1">
      <x:alignment wrapText="1"/>
    </x:xf>
    <x:xf numFmtId="0" fontId="13" fillId="10" borderId="21" xfId="0" applyNumberFormat="1" applyFont="1" applyFill="1" applyBorder="1" applyAlignment="1">
      <x:alignment wrapText="1"/>
    </x:xf>
    <x:xf numFmtId="0" fontId="13" fillId="10" borderId="22" xfId="0" applyNumberFormat="1" applyFont="1" applyFill="1" applyBorder="1" applyAlignment="1">
      <x:alignment wrapText="1"/>
    </x:xf>
    <x:xf numFmtId="207" fontId="13" fillId="10" borderId="23" xfId="0" applyNumberFormat="1" applyFont="1" applyFill="1" applyBorder="1" applyAlignment="1">
      <x:alignment wrapText="1"/>
    </x:xf>
    <x:xf numFmtId="207" fontId="13" fillId="10" borderId="24" xfId="0" applyNumberFormat="1" applyFont="1" applyFill="1" applyBorder="1" applyAlignment="1">
      <x:alignment wrapText="1"/>
    </x:xf>
    <x:xf numFmtId="201" fontId="13" fillId="10" borderId="24" xfId="0" applyNumberFormat="1" applyFont="1" applyFill="1" applyBorder="1" applyAlignment="1">
      <x:alignment wrapText="1"/>
    </x:xf>
    <x:xf numFmtId="0" fontId="13" fillId="10" borderId="24" xfId="0" applyNumberFormat="1" applyFont="1" applyFill="1" applyBorder="1" applyAlignment="1">
      <x:alignment wrapText="1"/>
    </x:xf>
    <x:xf numFmtId="0" fontId="13" fillId="10" borderId="25" xfId="0" applyNumberFormat="1" applyFont="1" applyFill="1" applyBorder="1" applyAlignment="1">
      <x:alignment wrapText="1"/>
    </x:xf>
    <x:xf numFmtId="207" fontId="13" fillId="10" borderId="20" xfId="0" applyNumberFormat="1" applyFont="1" applyFill="1" applyBorder="1" applyAlignment="1">
      <x:alignment horizontal="center" wrapText="1"/>
    </x:xf>
    <x:xf numFmtId="207" fontId="13" fillId="10" borderId="21" xfId="0" applyNumberFormat="1" applyFont="1" applyFill="1" applyBorder="1" applyAlignment="1">
      <x:alignment horizontal="center" wrapText="1"/>
    </x:xf>
    <x:xf numFmtId="201" fontId="13" fillId="10" borderId="21" xfId="0" applyNumberFormat="1" applyFont="1" applyFill="1" applyBorder="1" applyAlignment="1">
      <x:alignment horizontal="center" wrapText="1"/>
    </x:xf>
    <x:xf numFmtId="0" fontId="13" fillId="10" borderId="21" xfId="0" applyNumberFormat="1" applyFont="1" applyFill="1" applyBorder="1" applyAlignment="1">
      <x:alignment horizontal="center" wrapText="1"/>
    </x:xf>
    <x:xf numFmtId="0" fontId="13" fillId="10" borderId="22" xfId="0" applyNumberFormat="1" applyFont="1" applyFill="1" applyBorder="1" applyAlignment="1">
      <x:alignment horizontal="center" wrapText="1"/>
    </x:xf>
    <x:xf numFmtId="207" fontId="13" fillId="10" borderId="23" xfId="0" applyNumberFormat="1" applyFont="1" applyFill="1" applyBorder="1" applyAlignment="1">
      <x:alignment horizontal="center" wrapText="1"/>
    </x:xf>
    <x:xf numFmtId="207" fontId="13" fillId="10" borderId="24" xfId="0" applyNumberFormat="1" applyFont="1" applyFill="1" applyBorder="1" applyAlignment="1">
      <x:alignment horizontal="center" wrapText="1"/>
    </x:xf>
    <x:xf numFmtId="201" fontId="13" fillId="10" borderId="24" xfId="0" applyNumberFormat="1" applyFont="1" applyFill="1" applyBorder="1" applyAlignment="1">
      <x:alignment horizontal="center" wrapText="1"/>
    </x:xf>
    <x:xf numFmtId="0" fontId="13" fillId="10" borderId="24" xfId="0" applyNumberFormat="1" applyFont="1" applyFill="1" applyBorder="1" applyAlignment="1">
      <x:alignment horizontal="center" wrapText="1"/>
    </x:xf>
    <x:xf numFmtId="0" fontId="13" fillId="10" borderId="25" xfId="0" applyNumberFormat="1" applyFont="1" applyFill="1" applyBorder="1" applyAlignment="1">
      <x:alignment horizontal="center" wrapText="1"/>
    </x:xf>
    <x:xf numFmtId="207" fontId="13" fillId="10" borderId="20" xfId="0" applyNumberFormat="1" applyFont="1" applyFill="1" applyBorder="1" applyAlignment="1">
      <x:alignment horizontal="center" vertical="center" wrapText="1"/>
    </x:xf>
    <x:xf numFmtId="207" fontId="13" fillId="10" borderId="21" xfId="0" applyNumberFormat="1" applyFont="1" applyFill="1" applyBorder="1" applyAlignment="1">
      <x:alignment horizontal="center" vertical="center" wrapText="1"/>
    </x:xf>
    <x:xf numFmtId="201" fontId="13" fillId="10" borderId="21" xfId="0" applyNumberFormat="1" applyFont="1" applyFill="1" applyBorder="1" applyAlignment="1">
      <x:alignment horizontal="center" vertical="center" wrapText="1"/>
    </x:xf>
    <x:xf numFmtId="0" fontId="13" fillId="10" borderId="21" xfId="0" applyNumberFormat="1" applyFont="1" applyFill="1" applyBorder="1" applyAlignment="1">
      <x:alignment horizontal="center" vertical="center" wrapText="1"/>
    </x:xf>
    <x:xf numFmtId="0" fontId="13" fillId="10" borderId="22" xfId="0" applyNumberFormat="1" applyFont="1" applyFill="1" applyBorder="1" applyAlignment="1">
      <x:alignment horizontal="center" vertical="center" wrapText="1"/>
    </x:xf>
    <x:xf numFmtId="207" fontId="13" fillId="10" borderId="23" xfId="0" applyNumberFormat="1" applyFont="1" applyFill="1" applyBorder="1" applyAlignment="1">
      <x:alignment horizontal="center" vertical="center" wrapText="1"/>
    </x:xf>
    <x:xf numFmtId="207" fontId="13" fillId="10" borderId="24" xfId="0" applyNumberFormat="1" applyFont="1" applyFill="1" applyBorder="1" applyAlignment="1">
      <x:alignment horizontal="center" vertical="center" wrapText="1"/>
    </x:xf>
    <x:xf numFmtId="201" fontId="13" fillId="10" borderId="24" xfId="0" applyNumberFormat="1" applyFont="1" applyFill="1" applyBorder="1" applyAlignment="1">
      <x:alignment horizontal="center" vertical="center" wrapText="1"/>
    </x:xf>
    <x:xf numFmtId="0" fontId="13" fillId="10" borderId="24" xfId="0" applyNumberFormat="1" applyFont="1" applyFill="1" applyBorder="1" applyAlignment="1">
      <x:alignment horizontal="center" vertical="center" wrapText="1"/>
    </x:xf>
    <x:xf numFmtId="0" fontId="13" fillId="10" borderId="25" xfId="0" applyNumberFormat="1" applyFont="1" applyFill="1" applyBorder="1" applyAlignment="1">
      <x:alignment horizontal="center" vertical="center" wrapText="1"/>
    </x:xf>
    <x:xf numFmtId="201" fontId="13" fillId="8" borderId="21" xfId="0" applyNumberFormat="1" applyFont="1" applyFill="1" applyBorder="1" applyAlignment="1">
      <x:alignment horizontal="center" vertical="center" wrapText="1"/>
    </x:xf>
    <x:xf numFmtId="201" fontId="13" fillId="8" borderId="24" xfId="0" applyNumberFormat="1" applyFont="1" applyFill="1" applyBorder="1" applyAlignment="1">
      <x:alignment horizontal="center" vertical="center" wrapText="1"/>
    </x:xf>
    <x:xf numFmtId="201" fontId="13" fillId="9" borderId="21" xfId="0" applyNumberFormat="1" applyFont="1" applyFill="1" applyBorder="1" applyAlignment="1">
      <x:alignment horizontal="center" vertical="center" wrapText="1"/>
    </x:xf>
    <x:xf numFmtId="201" fontId="13" fillId="9" borderId="24" xfId="0" applyNumberFormat="1" applyFont="1" applyFill="1" applyBorder="1" applyAlignment="1">
      <x:alignment horizontal="center" vertical="center" wrapText="1"/>
    </x:xf>
    <x:xf numFmtId="0" fontId="13" fillId="6" borderId="21" xfId="0" applyNumberFormat="1" applyFont="1" applyFill="1" applyBorder="1" applyAlignment="1">
      <x:alignment horizontal="center" vertical="center" wrapText="1"/>
    </x:xf>
    <x:xf numFmtId="0" fontId="13" fillId="6" borderId="22" xfId="0" applyNumberFormat="1" applyFont="1" applyFill="1" applyBorder="1" applyAlignment="1">
      <x:alignment horizontal="center" vertical="center" wrapText="1"/>
    </x:xf>
    <x:xf numFmtId="0" fontId="13" fillId="6" borderId="24" xfId="0" applyNumberFormat="1" applyFont="1" applyFill="1" applyBorder="1" applyAlignment="1">
      <x:alignment horizontal="center" vertical="center" wrapText="1"/>
    </x:xf>
    <x:xf numFmtId="0" fontId="13" fillId="6" borderId="25" xfId="0" applyNumberFormat="1" applyFont="1" applyFill="1" applyBorder="1" applyAlignment="1">
      <x:alignment horizontal="center"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4" xfId="0" applyNumberFormat="1" applyFont="1" applyFill="1" applyBorder="1" applyAlignment="1">
      <x:alignment horizontal="center" vertical="center" wrapText="1"/>
    </x:xf>
    <x:xf numFmtId="0" fontId="14" fillId="6" borderId="25" xfId="0" applyNumberFormat="1" applyFont="1" applyFill="1" applyBorder="1" applyAlignment="1">
      <x:alignment horizontal="center" vertical="center" wrapText="1"/>
    </x:xf>
    <x:xf numFmtId="208" fontId="7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209" fontId="7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f659393ce4734" /><Relationship Type="http://schemas.openxmlformats.org/officeDocument/2006/relationships/theme" Target="/xl/theme/theme1.xml" Id="R5dc1b20dbc774871" /><Relationship Type="http://schemas.openxmlformats.org/officeDocument/2006/relationships/sharedStrings" Target="/xl/sharedStrings.xml" Id="R03b6644ae7544943" /><Relationship Type="http://schemas.openxmlformats.org/officeDocument/2006/relationships/worksheet" Target="/xl/worksheets/sheet1.xml" Id="R2646fe77c57746d2" /><Relationship Type="http://schemas.openxmlformats.org/officeDocument/2006/relationships/worksheet" Target="/xl/worksheets/sheet2.xml" Id="R2c001d998e214b0a" /><Relationship Type="http://schemas.openxmlformats.org/officeDocument/2006/relationships/worksheet" Target="/xl/worksheets/sheet3.xml" Id="R4c5f00fc29a74b55" /><Relationship Type="http://schemas.openxmlformats.org/officeDocument/2006/relationships/worksheet" Target="/xl/worksheets/sheet4.xml" Id="Ra028822a1a274df8" /><Relationship Type="http://schemas.openxmlformats.org/officeDocument/2006/relationships/worksheet" Target="/xl/worksheets/sheet5.xml" Id="Rbff1f6e00c114311" /><Relationship Type="http://schemas.openxmlformats.org/officeDocument/2006/relationships/worksheet" Target="/xl/worksheets/sheet6.xml" Id="R2f9c3bcd401d4451" /><Relationship Type="http://schemas.openxmlformats.org/officeDocument/2006/relationships/worksheet" Target="/xl/worksheets/sheet7.xml" Id="Re8498d649e104563" /><Relationship Type="http://schemas.openxmlformats.org/officeDocument/2006/relationships/worksheet" Target="/xl/worksheets/sheet8.xml" Id="R0b21fc60ca81473d" /><Relationship Type="http://schemas.openxmlformats.org/officeDocument/2006/relationships/worksheet" Target="/xl/worksheets/sheet9.xml" Id="Rb3ef797d121c4a7c" /><Relationship Type="http://schemas.openxmlformats.org/officeDocument/2006/relationships/worksheet" Target="/xl/worksheets/sheet10.xml" Id="R11249d17e03e4807" /><Relationship Type="http://schemas.openxmlformats.org/officeDocument/2006/relationships/worksheet" Target="/xl/worksheets/sheet11.xml" Id="Re1f0334f7d5c4880" /><Relationship Type="http://schemas.microsoft.com/office/2017/10/relationships/person" Target="/xl/persons/person.xml" Id="R7fd1362566df45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6b5dbf276a4ca5" /><Relationship Type="http://schemas.openxmlformats.org/officeDocument/2006/relationships/chart" Target="/xl/drawings/charts/chart2.xml" Id="R94bdfbe0b7ce4d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7d492c98aeb41a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f91b3460032479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ff97a2fcaf649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 losses concentrate in parallel-up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Delta EVE (TRY mn)</c:v>
          </c:tx>
          <c:cat>
            <c:strRef>
              <c:f>'Executive Dashboard'!$A$19:$A$24</c:f>
              <c:strCache>
                <c:ptCount val="0"/>
              </c:strCache>
            </c:strRef>
          </c:cat>
          <c:val>
            <c:numRef>
              <c:f>'Executive Dashboard'!$B$19:$B$24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[Red](#,##0)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Rapid digital run exposes a seven-day survival horizon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LCR proxy</c:v>
          </c:tx>
          <c:cat>
            <c:strRef>
              <c:f>'Executive Dashboard'!$H$19:$H$23</c:f>
              <c:strCache>
                <c:ptCount val="0"/>
              </c:strCache>
            </c:strRef>
          </c:cat>
          <c:val>
            <c:numRef>
              <c:f>'Executive Dashboard'!$I$19:$I$23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Delta EVE by prescribed scenario (TRY mn)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Delta EVE</c:v>
          </c:tx>
          <c:cat>
            <c:strRef>
              <c:f>'IRRBB EVE'!$H$6:$H$11</c:f>
              <c:strCache>
                <c:ptCount val="0"/>
              </c:strCache>
            </c:strRef>
          </c:cat>
          <c:val>
            <c:numRef>
              <c:f>'IRRBB EVE'!$I$6:$I$11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[Red](#,##0)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NII sensitivity by parallel shock (TRY mn)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Baseline NII</c:v>
          </c:tx>
          <c:cat>
            <c:strRef>
              <c:f>'NII Sensitivity'!$A$7:$A$8</c:f>
              <c:strCache>
                <c:ptCount val="0"/>
              </c:strCache>
            </c:strRef>
          </c:cat>
          <c:val>
            <c:numRef>
              <c:f>'NII Sensitivity'!$B$7:$B$8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Shocked NII</c:v>
          </c:tx>
          <c:cat>
            <c:strRef>
              <c:f>'NII Sensitivity'!$A$7:$A$8</c:f>
              <c:strCache>
                <c:ptCount val="0"/>
              </c:strCache>
            </c:strRef>
          </c:cat>
          <c:val>
            <c:numRef>
              <c:f>'NII Sensitivity'!$C$7:$C$8</c:f>
              <c:numCache>
                <c:formatCode>#,##0.0;[Red](#,##0.0);-</c:formatCode>
                <c:ptCount val="0"/>
              </c:numCache>
            </c:numRef>
          </c:val>
        </c:ser>
        <c:ser>
          <c:idx val="2"/>
          <c:order val="2"/>
          <c:tx>
            <c:v>Delta NII</c:v>
          </c:tx>
          <c:cat>
            <c:strRef>
              <c:f>'NII Sensitivity'!$A$7:$A$8</c:f>
              <c:strCache>
                <c:ptCount val="0"/>
              </c:strCache>
            </c:strRef>
          </c:cat>
          <c:val>
            <c:numRef>
              <c:f>'NII Sensitivity'!$D$7:$D$8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Rapid digital run drives the LCR proxy to 78.1%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LCR proxy</c:v>
          </c:tx>
          <c:cat>
            <c:strRef>
              <c:f>'Liquidity'!$N$8:$N$12</c:f>
              <c:strCache>
                <c:ptCount val="0"/>
              </c:strCache>
            </c:strRef>
          </c:cat>
          <c:val>
            <c:numRef>
              <c:f>'Liquidity'!$O$8:$O$12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6b5dbf276a4ca5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bdfbe0b7ce4d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d492c98aeb41a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1b3460032479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97a2fcaf6497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urat Miraç Gedik" id="{6A530232-7AB4-4679-A611-99B52FBDEE6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21T11:42:35.52" personId="{6A530232-7AB4-4679-A611-99B52FBDEE6F}" id="{C98EFE8F-088B-9606-9A45-E7FFDB6B4E80}">
    <xltc:text>Source: TCMB policy-rate announcement (2026 reference). https://www.tcmb.gov.tr/wps/wcm/connect/tr/tcmb+tr/main+menu/duyurular/basin/2026/duy2026-23</xltc:text>
  </xltc:threadedComment>
  <xltc:threadedComment ref="B7" dT="2026-08-21T11:42:35.52" personId="{6A530232-7AB4-4679-A611-99B52FBDEE6F}" id="{270A24B8-4951-F9F8-1C31-B4A5E3B1C483}">
    <xltc:text>Source: TCMB official exchange rates via e-Devlet, 2026-08-19. https://www.turkiye.gov.tr/doviz-kurlari</xltc:text>
  </xltc:threadedComment>
  <xltc:threadedComment ref="F6" dT="2026-08-21T11:42:35.52" personId="{6A530232-7AB4-4679-A611-99B52FBDEE6F}" id="{867C2A4C-7032-EFE8-6FE6-86305A326678}">
    <xltc:text>Source: Basel Committee, recalibration of IRRBB shocks (d578), effective 2026-01-01. https://www.bis.org/bcbs/publ/d578.pdf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2e6f778e974f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ada316cbd6f4f09" /><Relationship Type="http://schemas.openxmlformats.org/officeDocument/2006/relationships/vmlDrawing" Target="/xl/drawings/vmldrawing.vml" Id="R4522e2ee601d49ec" /><Relationship Type="http://schemas.microsoft.com/office/2017/10/relationships/threadedComment" Target="/xl/threadedcomments/threadedcomment.xml" Id="R550bbc34400d46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40f6aec535884b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55524bdc7679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21b4aebcef4941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3" hidden="0" customWidth="1"/>
    <x:col min="8" max="8" width="25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</x:cols>
  <x:sheetData>
    <x:row r="1" ht="32" customHeight="1">
      <x:c r="A1" s="4" t="str">
        <x:v>Aurelia Bank | Treasury &amp; ALM Risk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7" t="str">
        <x:v>ALCO executive view | 19 August 2026 | Fictional bank, controlled synthetic banking book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96" t="str">
        <x:v>TOTAL ASSETS</x:v>
      </x:c>
      <x:c r="B4" s="96"/>
      <x:c r="C4" s="96" t="str">
        <x:v>WORST EVE LOSS</x:v>
      </x:c>
      <x:c r="D4" s="96"/>
      <x:c r="E4" s="96" t="str">
        <x:v>MAX |DELTA NII|</x:v>
      </x:c>
      <x:c r="F4" s="96"/>
      <x:c r="G4" s="96" t="str">
        <x:v>COMBINED LCR</x:v>
      </x:c>
      <x:c r="H4" s="96"/>
      <x:c r="I4" s="96" t="str">
        <x:v>FX OPEN / EQUITY</x:v>
      </x:c>
      <x:c r="J4" s="96"/>
      <x:c r="K4" s="96" t="str">
        <x:v>MODEL STATUS</x:v>
      </x:c>
      <x:c r="L4" s="96"/>
    </x:row>
    <x:row r="5">
      <x:c r="A5" s="134" t="n">
        <x:f>'Balance Sheet'!F25</x:f>
        <x:v>180000</x:v>
      </x:c>
      <x:c r="B5" s="135"/>
      <x:c r="C5" s="144" t="n">
        <x:f>'IRRBB EVE'!C4</x:f>
        <x:v>0.13743893711111127</x:v>
      </x:c>
      <x:c r="D5" s="144"/>
      <x:c r="E5" s="136" t="n">
        <x:f>'NII Sensitivity'!C4</x:f>
        <x:v>0.058133649698356125</x:v>
      </x:c>
      <x:c r="F5" s="136"/>
      <x:c r="G5" s="146" t="n">
        <x:f>Liquidity!C4</x:f>
        <x:v>0.9483364199501884</x:v>
      </x:c>
      <x:c r="H5" s="146"/>
      <x:c r="I5" s="144" t="n">
        <x:f>'FX &amp; Hedge'!C4</x:f>
        <x:v>0.3333333333333333</x:v>
      </x:c>
      <x:c r="J5" s="144"/>
      <x:c r="K5" s="152" t="str">
        <x:f>Controls!F30</x:f>
        <x:v>OK - RISK FLAGS SURFACED</x:v>
      </x:c>
      <x:c r="L5" s="153"/>
    </x:row>
    <x:row r="6">
      <x:c r="A6" s="139"/>
      <x:c r="B6" s="140"/>
      <x:c r="C6" s="145"/>
      <x:c r="D6" s="145"/>
      <x:c r="E6" s="141"/>
      <x:c r="F6" s="141"/>
      <x:c r="G6" s="147"/>
      <x:c r="H6" s="147"/>
      <x:c r="I6" s="145"/>
      <x:c r="J6" s="145"/>
      <x:c r="K6" s="154"/>
      <x:c r="L6" s="155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9" t="str">
        <x:v>Risk appetite dashboard</x:v>
      </x:c>
      <x:c r="B8" s="9"/>
      <x:c r="C8" s="9"/>
      <x:c r="D8" s="9"/>
      <x:c r="E8" s="9"/>
      <x:c r="F8" s="9"/>
      <x:c r="G8" s="1"/>
      <x:c r="H8" s="9" t="str">
        <x:v>Immediate ALCO actions</x:v>
      </x:c>
      <x:c r="I8" s="9"/>
      <x:c r="J8" s="9"/>
      <x:c r="K8" s="9"/>
      <x:c r="L8" s="9"/>
    </x:row>
    <x:row r="9" ht="34" customHeight="1">
      <x:c r="A9" s="24" t="str">
        <x:v>Metric</x:v>
      </x:c>
      <x:c r="B9" s="24" t="str">
        <x:v>Observed</x:v>
      </x:c>
      <x:c r="C9" s="24" t="str">
        <x:v>Limit / floor</x:v>
      </x:c>
      <x:c r="D9" s="24" t="str">
        <x:v>Headroom</x:v>
      </x:c>
      <x:c r="E9" s="24" t="str">
        <x:v>Status</x:v>
      </x:c>
      <x:c r="F9" s="24" t="str">
        <x:v>ALCO interpretation</x:v>
      </x:c>
      <x:c r="G9" s="1"/>
      <x:c r="H9" s="160" t="str">
        <x:v>1 | Approve an 80% FX hedge target: buy USD/EUR and sell TRY via FX swap or forward, subject to limits and execution controls.</x:v>
      </x:c>
      <x:c r="I9" s="160"/>
      <x:c r="J9" s="160"/>
      <x:c r="K9" s="160"/>
      <x:c r="L9" s="160"/>
    </x:row>
    <x:row r="10" ht="34" customHeight="1">
      <x:c r="A10" s="1" t="str">
        <x:v>EVE loss / Tier 1</x:v>
      </x:c>
      <x:c r="B10" s="87" t="n">
        <x:f>'IRRBB EVE'!C4</x:f>
        <x:v>0.13743893711111127</x:v>
      </x:c>
      <x:c r="C10" s="87" t="n">
        <x:f>Assumptions!B11</x:f>
        <x:v>0.15</x:v>
      </x:c>
      <x:c r="D10" s="11" t="n">
        <x:f>C10-B10</x:f>
        <x:v>0.012561062888888724</x:v>
      </x:c>
      <x:c r="E10" s="1" t="str">
        <x:f>IF(B10&lt;=C10,"WITHIN_LIMIT","BREACH")</x:f>
        <x:v>WITHIN_LIMIT</x:v>
      </x:c>
      <x:c r="F10" s="88" t="str">
        <x:v>Parallel-up is the adverse EVE scenario</x:v>
      </x:c>
      <x:c r="G10" s="1"/>
      <x:c r="H10" s="160" t="str">
        <x:v>2 | Preserve the liquidity buffer: combined-stress LCR proxy is 94.8% and survival reaches the 30-day floor.</x:v>
      </x:c>
      <x:c r="I10" s="160"/>
      <x:c r="J10" s="160"/>
      <x:c r="K10" s="160"/>
      <x:c r="L10" s="160"/>
    </x:row>
    <x:row r="11" ht="34" customHeight="1">
      <x:c r="A11" s="1" t="str">
        <x:v>Absolute Delta NII</x:v>
      </x:c>
      <x:c r="B11" s="87" t="n">
        <x:f>'NII Sensitivity'!C4</x:f>
        <x:v>0.058133649698356125</x:v>
      </x:c>
      <x:c r="C11" s="87" t="n">
        <x:f>Assumptions!B12</x:f>
        <x:v>0.12</x:v>
      </x:c>
      <x:c r="D11" s="11" t="n">
        <x:f>C11-B11</x:f>
        <x:v>0.06186635030164387</x:v>
      </x:c>
      <x:c r="E11" s="1" t="str">
        <x:f>IF(B11&lt;=C11,"WITHIN_LIMIT","BREACH")</x:f>
        <x:v>WITHIN_LIMIT</x:v>
      </x:c>
      <x:c r="F11" s="88" t="str">
        <x:v>Parallel-down compresses 12-month NII</x:v>
      </x:c>
      <x:c r="G11" s="1"/>
      <x:c r="H11" s="160" t="str">
        <x:v>3 | Activate rapid-run readiness: the exploratory LCR proxy is 78.1%, stressed HQLA loses TRY 1.46bn and survival falls to 7 days.</x:v>
      </x:c>
      <x:c r="I11" s="160"/>
      <x:c r="J11" s="160"/>
      <x:c r="K11" s="160"/>
      <x:c r="L11" s="160"/>
    </x:row>
    <x:row r="12" ht="34" customHeight="1">
      <x:c r="A12" s="1" t="str">
        <x:v>Combined LCR proxy</x:v>
      </x:c>
      <x:c r="B12" s="87" t="n">
        <x:f>Liquidity!C4</x:f>
        <x:v>0.9483364199501884</x:v>
      </x:c>
      <x:c r="C12" s="87" t="n">
        <x:f>Assumptions!B13</x:f>
        <x:v>1</x:v>
      </x:c>
      <x:c r="D12" s="11" t="n">
        <x:f>B12-C12</x:f>
        <x:v>-0.05166358004981164</x:v>
      </x:c>
      <x:c r="E12" s="1" t="str">
        <x:f>IF(B12&gt;=C12,"WITHIN_LIMIT","BREACH")</x:f>
        <x:v>BREACH</x:v>
      </x:c>
      <x:c r="F12" s="88" t="str">
        <x:v>Buffer falls below 100% in combined stress</x:v>
      </x:c>
      <x:c r="G12" s="1"/>
      <x:c r="H12" s="160" t="str">
        <x:v>4 | Review TRY duration hedge sizing: indicative pay-fixed IRS notional is TRY 10.3bn for a 50% DV01 reduction.</x:v>
      </x:c>
      <x:c r="I12" s="160"/>
      <x:c r="J12" s="160"/>
      <x:c r="K12" s="160"/>
      <x:c r="L12" s="160"/>
    </x:row>
    <x:row r="13" ht="34" customHeight="1">
      <x:c r="A13" s="1" t="str">
        <x:v>Combined survival days</x:v>
      </x:c>
      <x:c r="B13" s="156" t="n">
        <x:f>Liquidity!G4</x:f>
        <x:v>30</x:v>
      </x:c>
      <x:c r="C13" s="156" t="n">
        <x:f>Assumptions!B15</x:f>
        <x:v>30</x:v>
      </x:c>
      <x:c r="D13" s="157" t="n">
        <x:f>B13-C13</x:f>
        <x:v>0</x:v>
      </x:c>
      <x:c r="E13" s="1" t="str">
        <x:f>IF(B13&gt;=C13,"WITHIN_LIMIT","BREACH")</x:f>
        <x:v>WITHIN_LIMIT</x:v>
      </x:c>
      <x:c r="F13" s="88" t="str">
        <x:v>Exactly at management floor</x:v>
      </x:c>
      <x:c r="G13" s="1"/>
      <x:c r="H13" s="160" t="str">
        <x:v>5 | Protect NII downside and treat every hedge output as decision support; execution remains outside the model.</x:v>
      </x:c>
      <x:c r="I13" s="160"/>
      <x:c r="J13" s="160"/>
      <x:c r="K13" s="160"/>
      <x:c r="L13" s="160"/>
    </x:row>
    <x:row r="14" ht="34" customHeight="1">
      <x:c r="A14" s="1" t="str">
        <x:v>FX open / equity</x:v>
      </x:c>
      <x:c r="B14" s="87" t="n">
        <x:f>'FX &amp; Hedge'!C4</x:f>
        <x:v>0.3333333333333333</x:v>
      </x:c>
      <x:c r="C14" s="87" t="n">
        <x:f>Assumptions!B16</x:f>
        <x:v>0.2</x:v>
      </x:c>
      <x:c r="D14" s="11" t="n">
        <x:f>C14-B14</x:f>
        <x:v>-0.1333333333333333</x:v>
      </x:c>
      <x:c r="E14" s="1" t="str">
        <x:f>IF(B14&lt;=C14,"WITHIN_LIMIT","BREACH")</x:f>
        <x:v>BREACH</x:v>
      </x:c>
      <x:c r="F14" s="88" t="str">
        <x:v>USD short is the dominant remediable breach</x:v>
      </x:c>
      <x:c r="G14" s="1"/>
      <x:c r="H14" s="160"/>
      <x:c r="I14" s="160"/>
      <x:c r="J14" s="160"/>
      <x:c r="K14" s="160"/>
      <x:c r="L14" s="160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9" t="str">
        <x:v>Scenario sensitivity</x:v>
      </x:c>
      <x:c r="B17" s="9"/>
      <x:c r="C17" s="9"/>
      <x:c r="D17" s="9"/>
      <x:c r="E17" s="9"/>
      <x:c r="F17" s="9"/>
      <x:c r="G17" s="1"/>
      <x:c r="H17" s="9" t="str">
        <x:v>Liquidity stress</x:v>
      </x:c>
      <x:c r="I17" s="9"/>
      <x:c r="J17" s="9"/>
      <x:c r="K17" s="9"/>
      <x:c r="L17" s="9"/>
    </x:row>
    <x:row r="18" ht="28" customHeight="1">
      <x:c r="A18" s="24" t="str">
        <x:v>EVE scenario</x:v>
      </x:c>
      <x:c r="B18" s="24" t="str">
        <x:v>Delta EVE (TRY mn)</x:v>
      </x:c>
      <x:c r="C18" s="24" t="str">
        <x:v>Delta / Tier 1</x:v>
      </x:c>
      <x:c r="D18" s="1"/>
      <x:c r="E18" s="1"/>
      <x:c r="F18" s="1"/>
      <x:c r="G18" s="1"/>
      <x:c r="H18" s="24" t="str">
        <x:v>Scenario</x:v>
      </x:c>
      <x:c r="I18" s="24" t="str">
        <x:v>LCR proxy</x:v>
      </x:c>
      <x:c r="J18" s="24" t="str">
        <x:v>Survival days</x:v>
      </x:c>
      <x:c r="K18" s="1"/>
      <x:c r="L18" s="1"/>
    </x:row>
    <x:row r="19">
      <x:c r="A19" s="33" t="str">
        <x:f>'IRRBB EVE'!H6</x:f>
        <x:v>parallel_up</x:v>
      </x:c>
      <x:c r="B19" s="161" t="n">
        <x:f>'IRRBB EVE'!I6</x:f>
        <x:v>-3092.3760850000035</x:v>
      </x:c>
      <x:c r="C19" s="87" t="n">
        <x:f>'IRRBB EVE'!J6</x:f>
        <x:v>-0.13743893711111127</x:v>
      </x:c>
      <x:c r="D19" s="1"/>
      <x:c r="E19" s="1"/>
      <x:c r="F19" s="1"/>
      <x:c r="G19" s="1"/>
      <x:c r="H19" s="33" t="str">
        <x:f>Liquidity!A8</x:f>
        <x:v>base</x:v>
      </x:c>
      <x:c r="I19" s="87" t="n">
        <x:f>Liquidity!H8</x:f>
        <x:v>1.5872167592988458</x:v>
      </x:c>
      <x:c r="J19" s="33" t="n">
        <x:f>Liquidity!I8</x:f>
        <x:v>365</x:v>
      </x:c>
      <x:c r="K19" s="1"/>
      <x:c r="L19" s="1"/>
    </x:row>
    <x:row r="20">
      <x:c r="A20" s="33" t="str">
        <x:f>'IRRBB EVE'!H7</x:f>
        <x:v>parallel_down</x:v>
      </x:c>
      <x:c r="B20" s="161" t="n">
        <x:f>'IRRBB EVE'!I7</x:f>
        <x:v>3658.5116899999994</x:v>
      </x:c>
      <x:c r="C20" s="87" t="n">
        <x:f>'IRRBB EVE'!J7</x:f>
        <x:v>0.16260051955555552</x:v>
      </x:c>
      <x:c r="D20" s="1"/>
      <x:c r="E20" s="1"/>
      <x:c r="F20" s="1"/>
      <x:c r="G20" s="1"/>
      <x:c r="H20" s="33" t="str">
        <x:f>Liquidity!A9</x:f>
        <x:v>idiosyncratic</x:v>
      </x:c>
      <x:c r="I20" s="87" t="n">
        <x:f>Liquidity!H9</x:f>
        <x:v>1.2021857923497268</x:v>
      </x:c>
      <x:c r="J20" s="33" t="n">
        <x:f>Liquidity!I9</x:f>
        <x:v>365</x:v>
      </x:c>
      <x:c r="K20" s="1"/>
      <x:c r="L20" s="1"/>
    </x:row>
    <x:row r="21">
      <x:c r="A21" s="33" t="str">
        <x:f>'IRRBB EVE'!H8</x:f>
        <x:v>steepener</x:v>
      </x:c>
      <x:c r="B21" s="161" t="n">
        <x:f>'IRRBB EVE'!I8</x:f>
        <x:v>-574.5688130000053</x:v>
      </x:c>
      <x:c r="C21" s="87" t="n">
        <x:f>'IRRBB EVE'!J8</x:f>
        <x:v>-0.025536391688889125</x:v>
      </x:c>
      <x:c r="D21" s="1"/>
      <x:c r="E21" s="1"/>
      <x:c r="F21" s="1"/>
      <x:c r="G21" s="1"/>
      <x:c r="H21" s="33" t="str">
        <x:f>Liquidity!A10</x:f>
        <x:v>market_wide</x:v>
      </x:c>
      <x:c r="I21" s="87" t="n">
        <x:f>Liquidity!H10</x:f>
        <x:v>1.380496420935205</x:v>
      </x:c>
      <x:c r="J21" s="33" t="n">
        <x:f>Liquidity!I10</x:f>
        <x:v>365</x:v>
      </x:c>
      <x:c r="K21" s="1"/>
      <x:c r="L21" s="1"/>
    </x:row>
    <x:row r="22">
      <x:c r="A22" s="33" t="str">
        <x:f>'IRRBB EVE'!H9</x:f>
        <x:v>flattener</x:v>
      </x:c>
      <x:c r="B22" s="161" t="n">
        <x:f>'IRRBB EVE'!I9</x:f>
        <x:v>-96.98068100000091</x:v>
      </x:c>
      <x:c r="C22" s="87" t="n">
        <x:f>'IRRBB EVE'!J9</x:f>
        <x:v>-0.00431025248888893</x:v>
      </x:c>
      <x:c r="D22" s="1"/>
      <x:c r="E22" s="1"/>
      <x:c r="F22" s="1"/>
      <x:c r="G22" s="1"/>
      <x:c r="H22" s="33" t="str">
        <x:f>Liquidity!A11</x:f>
        <x:v>combined</x:v>
      </x:c>
      <x:c r="I22" s="87" t="n">
        <x:f>Liquidity!H11</x:f>
        <x:v>0.9483364199501884</x:v>
      </x:c>
      <x:c r="J22" s="33" t="n">
        <x:f>Liquidity!I11</x:f>
        <x:v>30</x:v>
      </x:c>
      <x:c r="K22" s="1"/>
      <x:c r="L22" s="1"/>
    </x:row>
    <x:row r="23">
      <x:c r="A23" s="33" t="str">
        <x:f>'IRRBB EVE'!H10</x:f>
        <x:v>short_up</x:v>
      </x:c>
      <x:c r="B23" s="161" t="n">
        <x:f>'IRRBB EVE'!I10</x:f>
        <x:v>-1362.5024140000023</x:v>
      </x:c>
      <x:c r="C23" s="87" t="n">
        <x:f>'IRRBB EVE'!J10</x:f>
        <x:v>-0.060555662844444545</x:v>
      </x:c>
      <x:c r="D23" s="1"/>
      <x:c r="E23" s="1"/>
      <x:c r="F23" s="1"/>
      <x:c r="G23" s="1"/>
      <x:c r="H23" s="33" t="str">
        <x:f>Liquidity!A12</x:f>
        <x:v>rapid_digital_run</x:v>
      </x:c>
      <x:c r="I23" s="87" t="n">
        <x:f>Liquidity!H12</x:f>
        <x:v>0.7809151560078172</x:v>
      </x:c>
      <x:c r="J23" s="33" t="n">
        <x:f>Liquidity!I12</x:f>
        <x:v>7</x:v>
      </x:c>
      <x:c r="K23" s="1"/>
      <x:c r="L23" s="1"/>
    </x:row>
    <x:row r="24">
      <x:c r="A24" s="33" t="str">
        <x:f>'IRRBB EVE'!H11</x:f>
        <x:v>short_down</x:v>
      </x:c>
      <x:c r="B24" s="161" t="n">
        <x:f>'IRRBB EVE'!I11</x:f>
        <x:v>1462.7598829999988</x:v>
      </x:c>
      <x:c r="C24" s="87" t="n">
        <x:f>'IRRBB EVE'!J11</x:f>
        <x:v>0.0650115503555555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6"/>
    <x:mergeCell ref="C5:D6"/>
    <x:mergeCell ref="E5:F6"/>
    <x:mergeCell ref="G5:H6"/>
    <x:mergeCell ref="I5:J6"/>
    <x:mergeCell ref="K5:L6"/>
    <x:mergeCell ref="A8:F8"/>
    <x:mergeCell ref="H8:L8"/>
    <x:mergeCell ref="H9:L9"/>
    <x:mergeCell ref="H10:L10"/>
    <x:mergeCell ref="H11:L11"/>
    <x:mergeCell ref="H12:L12"/>
    <x:mergeCell ref="H13:L13"/>
    <x:mergeCell ref="H14:L14"/>
    <x:mergeCell ref="A17:F17"/>
    <x:mergeCell ref="H17:L17"/>
  </x:mergeCells>
  <x:conditionalFormatting sqref="E10:E14">
    <x:cfRule type="containsText" dxfId="20" priority="1" operator="containsText" text="BREACH"/>
    <x:cfRule type="containsText" dxfId="21" priority="2" operator="containsText" text="FAIL"/>
    <x:cfRule type="containsText" dxfId="22" priority="3" operator="containsText" text="PASS"/>
    <x:cfRule type="containsText" dxfId="23" priority="4" operator="containsText" text="WITHIN_LIMIT"/>
    <x:cfRule type="containsText" dxfId="24" priority="5" operator="containsText" text="OK"/>
  </x:conditionalFormatting>
  <x:pageMargins left="0.7" right="0.7" top="0.75" bottom="0.75" header="0.3" footer="0.3"/>
  <x:drawing xmlns:r="http://schemas.openxmlformats.org/officeDocument/2006/relationships" r:id="R282e6f778e974f2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3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Model Assumptions &amp; Limits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7" t="str">
        <x:v>Blue font = editable internal assumption | Green font = linked formula | All amounts TRY million unless stated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9" t="str">
        <x:v>Market context and internal limit set</x:v>
      </x:c>
      <x:c r="B4" s="9"/>
      <x:c r="C4" s="9"/>
      <x:c r="D4" s="1"/>
      <x:c r="E4" s="9" t="str">
        <x:v>Basel IRRBB shock parameters (basis points)</x:v>
      </x:c>
      <x:c r="F4" s="9"/>
      <x:c r="G4" s="9"/>
      <x:c r="H4" s="9"/>
      <x:c r="I4" s="9"/>
      <x:c r="J4" s="9"/>
    </x:row>
    <x:row r="5" ht="28" customHeight="1">
      <x:c r="A5" s="1" t="str">
        <x:v>As-of date</x:v>
      </x:c>
      <x:c r="B5" s="10" t="n">
        <x:v>46253</x:v>
      </x:c>
      <x:c r="C5" s="1" t="str">
        <x:v>Official observation cutoff</x:v>
      </x:c>
      <x:c r="D5" s="1"/>
      <x:c r="E5" s="24" t="str">
        <x:v>Currency</x:v>
      </x:c>
      <x:c r="F5" s="24" t="str">
        <x:v>Parallel</x:v>
      </x:c>
      <x:c r="G5" s="24" t="str">
        <x:v>Short</x:v>
      </x:c>
      <x:c r="H5" s="24" t="str">
        <x:v>Long</x:v>
      </x:c>
      <x:c r="I5" s="24" t="str">
        <x:v>Steepener</x:v>
      </x:c>
      <x:c r="J5" s="24" t="str">
        <x:v>Flattener</x:v>
      </x:c>
    </x:row>
    <x:row r="6">
      <x:c r="A6" s="1" t="str">
        <x:v>TCMB policy rate</x:v>
      </x:c>
      <x:c r="B6" s="11" t="n">
        <x:v>0.37</x:v>
      </x:c>
      <x:c r="C6" s="1" t="str">
        <x:v>Official TCMB observation</x:v>
      </x:c>
      <x:c r="D6" s="1"/>
      <x:c r="E6" s="1" t="str">
        <x:v>TRY</x:v>
      </x:c>
      <x:c r="F6" s="19" t="n">
        <x:v>400</x:v>
      </x:c>
      <x:c r="G6" s="19" t="n">
        <x:v>500</x:v>
      </x:c>
      <x:c r="H6" s="19" t="n">
        <x:v>300</x:v>
      </x:c>
      <x:c r="I6" s="1" t="str">
        <x:v>-short / +long</x:v>
      </x:c>
      <x:c r="J6" s="1" t="str">
        <x:v>+short / -long</x:v>
      </x:c>
    </x:row>
    <x:row r="7">
      <x:c r="A7" s="1" t="str">
        <x:v>USD/TRY buying</x:v>
      </x:c>
      <x:c r="B7" s="12" t="n">
        <x:v>47.8467</x:v>
      </x:c>
      <x:c r="C7" s="1" t="str">
        <x:v>Official TCMB via e-Devlet</x:v>
      </x:c>
      <x:c r="D7" s="1"/>
      <x:c r="E7" s="1" t="str">
        <x:v>USD</x:v>
      </x:c>
      <x:c r="F7" s="19" t="n">
        <x:v>200</x:v>
      </x:c>
      <x:c r="G7" s="19" t="n">
        <x:v>300</x:v>
      </x:c>
      <x:c r="H7" s="19" t="n">
        <x:v>225</x:v>
      </x:c>
      <x:c r="I7" s="1" t="str">
        <x:v>-short / +long</x:v>
      </x:c>
      <x:c r="J7" s="1" t="str">
        <x:v>+short / -long</x:v>
      </x:c>
    </x:row>
    <x:row r="8">
      <x:c r="A8" s="1" t="str">
        <x:v>EUR/TRY buying</x:v>
      </x:c>
      <x:c r="B8" s="12" t="n">
        <x:v>55.5061</x:v>
      </x:c>
      <x:c r="C8" s="1" t="str">
        <x:v>Official TCMB via e-Devlet</x:v>
      </x:c>
      <x:c r="D8" s="1"/>
      <x:c r="E8" s="1" t="str">
        <x:v>EUR</x:v>
      </x:c>
      <x:c r="F8" s="19" t="n">
        <x:v>225</x:v>
      </x:c>
      <x:c r="G8" s="19" t="n">
        <x:v>350</x:v>
      </x:c>
      <x:c r="H8" s="19" t="n">
        <x:v>200</x:v>
      </x:c>
      <x:c r="I8" s="1" t="str">
        <x:v>-short / +long</x:v>
      </x:c>
      <x:c r="J8" s="1" t="str">
        <x:v>+short / -long</x:v>
      </x:c>
    </x:row>
    <x:row r="9">
      <x:c r="A9" s="1" t="str">
        <x:v>Model currency unit</x:v>
      </x:c>
      <x:c r="B9" s="1" t="str">
        <x:v>TRY million</x:v>
      </x:c>
      <x:c r="C9" s="1" t="str">
        <x:v>Internal convention</x:v>
      </x:c>
      <x:c r="D9" s="1"/>
      <x:c r="E9" s="1"/>
      <x:c r="F9" s="1"/>
      <x:c r="G9" s="1"/>
      <x:c r="H9" s="1"/>
      <x:c r="I9" s="1"/>
      <x:c r="J9" s="1"/>
    </x:row>
    <x:row r="10">
      <x:c r="A10" s="1" t="str">
        <x:v>Tier 1 capital</x:v>
      </x:c>
      <x:c r="B10" s="17" t="n">
        <x:v>22500</x:v>
      </x:c>
      <x:c r="C10" s="1" t="str">
        <x:v>Synthetic bank input</x:v>
      </x:c>
      <x:c r="D10" s="1"/>
      <x:c r="E10" s="28" t="str">
        <x:v>Regulatory note: the six prescribed IRRBB scenarios are implemented for economic value sensitivity. LCR and NSFR are clearly labelled proxies and are not regulatory returns.</x:v>
      </x:c>
      <x:c r="F10" s="28"/>
      <x:c r="G10" s="28"/>
      <x:c r="H10" s="28"/>
      <x:c r="I10" s="28"/>
      <x:c r="J10" s="28"/>
    </x:row>
    <x:row r="11">
      <x:c r="A11" s="1" t="str">
        <x:v>EVE loss / Tier 1 limit</x:v>
      </x:c>
      <x:c r="B11" s="18" t="n">
        <x:v>0.15</x:v>
      </x:c>
      <x:c r="C11" s="1" t="str">
        <x:v>Internal risk appetite</x:v>
      </x:c>
      <x:c r="D11" s="1"/>
      <x:c r="E11" s="28"/>
      <x:c r="F11" s="28"/>
      <x:c r="G11" s="28"/>
      <x:c r="H11" s="28"/>
      <x:c r="I11" s="28"/>
      <x:c r="J11" s="28"/>
    </x:row>
    <x:row r="12">
      <x:c r="A12" s="1" t="str">
        <x:v>Absolute Delta NII limit</x:v>
      </x:c>
      <x:c r="B12" s="18" t="n">
        <x:v>0.12</x:v>
      </x:c>
      <x:c r="C12" s="1" t="str">
        <x:v>Internal risk appetite</x:v>
      </x:c>
      <x:c r="D12" s="1"/>
      <x:c r="E12" s="28"/>
      <x:c r="F12" s="28"/>
      <x:c r="G12" s="28"/>
      <x:c r="H12" s="28"/>
      <x:c r="I12" s="28"/>
      <x:c r="J12" s="28"/>
    </x:row>
    <x:row r="13">
      <x:c r="A13" s="1" t="str">
        <x:v>LCR proxy floor</x:v>
      </x:c>
      <x:c r="B13" s="18" t="n">
        <x:v>1</x:v>
      </x:c>
      <x:c r="C13" s="1" t="str">
        <x:v>Educational proxy threshold</x:v>
      </x:c>
      <x:c r="D13" s="1"/>
      <x:c r="E13" s="1"/>
      <x:c r="F13" s="1"/>
      <x:c r="G13" s="1"/>
      <x:c r="H13" s="1"/>
      <x:c r="I13" s="1"/>
      <x:c r="J13" s="1"/>
    </x:row>
    <x:row r="14">
      <x:c r="A14" s="1" t="str">
        <x:v>NSFR proxy floor</x:v>
      </x:c>
      <x:c r="B14" s="18" t="n">
        <x:v>1</x:v>
      </x:c>
      <x:c r="C14" s="1" t="str">
        <x:v>Educational proxy threshold</x:v>
      </x:c>
      <x:c r="D14" s="1"/>
      <x:c r="E14" s="1"/>
      <x:c r="F14" s="1"/>
      <x:c r="G14" s="1"/>
      <x:c r="H14" s="1"/>
      <x:c r="I14" s="1"/>
      <x:c r="J14" s="1"/>
    </x:row>
    <x:row r="15">
      <x:c r="A15" s="1" t="str">
        <x:v>Survival horizon floor</x:v>
      </x:c>
      <x:c r="B15" s="19" t="n">
        <x:v>30</x:v>
      </x:c>
      <x:c r="C15" s="1" t="str">
        <x:v>Days</x:v>
      </x:c>
      <x:c r="D15" s="1"/>
      <x:c r="E15" s="1"/>
      <x:c r="F15" s="1"/>
      <x:c r="G15" s="1"/>
      <x:c r="H15" s="1"/>
      <x:c r="I15" s="1"/>
      <x:c r="J15" s="1"/>
    </x:row>
    <x:row r="16">
      <x:c r="A16" s="1" t="str">
        <x:v>FX open position / equity limit</x:v>
      </x:c>
      <x:c r="B16" s="18" t="n">
        <x:v>0.2</x:v>
      </x:c>
      <x:c r="C16" s="1" t="str">
        <x:v>Internal risk appetite</x:v>
      </x:c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</x:sheetData>
  <x:mergeCells>
    <x:mergeCell ref="A1:J1"/>
    <x:mergeCell ref="A2:J2"/>
    <x:mergeCell ref="A4:C4"/>
    <x:mergeCell ref="E4:J4"/>
    <x:mergeCell ref="E10:J10"/>
    <x:mergeCell ref="E11:J11"/>
    <x:mergeCell ref="E12:J12"/>
  </x:mergeCells>
  <x:pageMargins left="0.7" right="0.7" top="0.75" bottom="0.75" header="0.3" footer="0.3"/>
  <x:legacyDrawing xmlns:r="http://schemas.openxmlformats.org/officeDocument/2006/relationships" r:id="R4522e2ee601d49e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Banking Book Balance Sheet</x:v>
      </x:c>
      <x:c r="B1" s="4"/>
      <x:c r="C1" s="4"/>
      <x:c r="D1" s="4"/>
      <x:c r="E1" s="4"/>
      <x:c r="F1" s="4"/>
      <x:c r="G1" s="4"/>
    </x:row>
    <x:row r="2" ht="22" customHeight="1">
      <x:c r="A2" s="7" t="str">
        <x:v>Formulas aggregate 149 synthetic position records; no manual subtotal plugs</x:v>
      </x:c>
      <x:c r="B2" s="7"/>
      <x:c r="C2" s="7"/>
      <x:c r="D2" s="7"/>
      <x:c r="E2" s="7"/>
      <x:c r="F2" s="7"/>
      <x:c r="G2" s="7"/>
    </x:row>
    <x:row r="3">
      <x:c r="A3" s="1"/>
      <x:c r="B3" s="1"/>
      <x:c r="C3" s="1"/>
      <x:c r="D3" s="1"/>
      <x:c r="E3" s="1"/>
      <x:c r="F3" s="1"/>
      <x:c r="G3" s="1"/>
    </x:row>
    <x:row r="4" ht="28" customHeight="1">
      <x:c r="A4" s="24" t="str">
        <x:v>Side</x:v>
      </x:c>
      <x:c r="B4" s="24" t="str">
        <x:v>Product</x:v>
      </x:c>
      <x:c r="C4" s="24" t="str">
        <x:v>TRY</x:v>
      </x:c>
      <x:c r="D4" s="24" t="str">
        <x:v>EUR</x:v>
      </x:c>
      <x:c r="E4" s="24" t="str">
        <x:v>USD</x:v>
      </x:c>
      <x:c r="F4" s="24" t="str">
        <x:v>Total TRY mn</x:v>
      </x:c>
      <x:c r="G4" s="1"/>
    </x:row>
    <x:row r="5">
      <x:c r="A5" s="1" t="str">
        <x:v>asset</x:v>
      </x:c>
      <x:c r="B5" s="1" t="str">
        <x:v>cash_and_reserves</x:v>
      </x:c>
      <x:c r="C5" s="37" t="n">
        <x:f>SUMIFS('Positions Raw'!$G$5:$G$153,'Positions Raw'!$B$5:$B$153,$A5,'Positions Raw'!$C$5:$C$153,$B5,'Positions Raw'!$D$5:$D$153,C$4)</x:f>
        <x:v>12000</x:v>
      </x:c>
      <x:c r="D5" s="37" t="n">
        <x:f>SUMIFS('Positions Raw'!$G$5:$G$153,'Positions Raw'!$B$5:$B$153,$A5,'Positions Raw'!$C$5:$C$153,$B5,'Positions Raw'!$D$5:$D$153,D$4)</x:f>
        <x:v>2000</x:v>
      </x:c>
      <x:c r="E5" s="37" t="n">
        <x:f>SUMIFS('Positions Raw'!$G$5:$G$153,'Positions Raw'!$B$5:$B$153,$A5,'Positions Raw'!$C$5:$C$153,$B5,'Positions Raw'!$D$5:$D$153,E$4)</x:f>
        <x:v>3000.0000000000005</x:v>
      </x:c>
      <x:c r="F5" s="13" t="n">
        <x:f>SUM(C5:E5)</x:f>
        <x:v>17000</x:v>
      </x:c>
      <x:c r="G5" s="1"/>
    </x:row>
    <x:row r="6">
      <x:c r="A6" s="1" t="str">
        <x:v>asset</x:v>
      </x:c>
      <x:c r="B6" s="1" t="str">
        <x:v>interbank_assets</x:v>
      </x:c>
      <x:c r="C6" s="37" t="n">
        <x:f>SUMIFS('Positions Raw'!$G$5:$G$153,'Positions Raw'!$B$5:$B$153,$A6,'Positions Raw'!$C$5:$C$153,$B6,'Positions Raw'!$D$5:$D$153,C$4)</x:f>
        <x:v>8000</x:v>
      </x:c>
      <x:c r="D6" s="37" t="n">
        <x:f>SUMIFS('Positions Raw'!$G$5:$G$153,'Positions Raw'!$B$5:$B$153,$A6,'Positions Raw'!$C$5:$C$153,$B6,'Positions Raw'!$D$5:$D$153,D$4)</x:f>
        <x:v>0</x:v>
      </x:c>
      <x:c r="E6" s="37" t="n">
        <x:f>SUMIFS('Positions Raw'!$G$5:$G$153,'Positions Raw'!$B$5:$B$153,$A6,'Positions Raw'!$C$5:$C$153,$B6,'Positions Raw'!$D$5:$D$153,E$4)</x:f>
        <x:v>0</x:v>
      </x:c>
      <x:c r="F6" s="13" t="n">
        <x:f>SUM(C6:E6)</x:f>
        <x:v>8000</x:v>
      </x:c>
      <x:c r="G6" s="1"/>
    </x:row>
    <x:row r="7">
      <x:c r="A7" s="1" t="str">
        <x:v>asset</x:v>
      </x:c>
      <x:c r="B7" s="1" t="str">
        <x:v>government_securities</x:v>
      </x:c>
      <x:c r="C7" s="37" t="n">
        <x:f>SUMIFS('Positions Raw'!$G$5:$G$153,'Positions Raw'!$B$5:$B$153,$A7,'Positions Raw'!$C$5:$C$153,$B7,'Positions Raw'!$D$5:$D$153,C$4)</x:f>
        <x:v>24000</x:v>
      </x:c>
      <x:c r="D7" s="37" t="n">
        <x:f>SUMIFS('Positions Raw'!$G$5:$G$153,'Positions Raw'!$B$5:$B$153,$A7,'Positions Raw'!$C$5:$C$153,$B7,'Positions Raw'!$D$5:$D$153,D$4)</x:f>
        <x:v>3000</x:v>
      </x:c>
      <x:c r="E7" s="37" t="n">
        <x:f>SUMIFS('Positions Raw'!$G$5:$G$153,'Positions Raw'!$B$5:$B$153,$A7,'Positions Raw'!$C$5:$C$153,$B7,'Positions Raw'!$D$5:$D$153,E$4)</x:f>
        <x:v>4000</x:v>
      </x:c>
      <x:c r="F7" s="13" t="n">
        <x:f>SUM(C7:E7)</x:f>
        <x:v>31000</x:v>
      </x:c>
      <x:c r="G7" s="1"/>
    </x:row>
    <x:row r="8">
      <x:c r="A8" s="1" t="str">
        <x:v>asset</x:v>
      </x:c>
      <x:c r="B8" s="1" t="str">
        <x:v>corporate_bonds</x:v>
      </x:c>
      <x:c r="C8" s="37" t="n">
        <x:f>SUMIFS('Positions Raw'!$G$5:$G$153,'Positions Raw'!$B$5:$B$153,$A8,'Positions Raw'!$C$5:$C$153,$B8,'Positions Raw'!$D$5:$D$153,C$4)</x:f>
        <x:v>3999.9999999999995</x:v>
      </x:c>
      <x:c r="D8" s="37" t="n">
        <x:f>SUMIFS('Positions Raw'!$G$5:$G$153,'Positions Raw'!$B$5:$B$153,$A8,'Positions Raw'!$C$5:$C$153,$B8,'Positions Raw'!$D$5:$D$153,D$4)</x:f>
        <x:v>0</x:v>
      </x:c>
      <x:c r="E8" s="37" t="n">
        <x:f>SUMIFS('Positions Raw'!$G$5:$G$153,'Positions Raw'!$B$5:$B$153,$A8,'Positions Raw'!$C$5:$C$153,$B8,'Positions Raw'!$D$5:$D$153,E$4)</x:f>
        <x:v>0</x:v>
      </x:c>
      <x:c r="F8" s="13" t="n">
        <x:f>SUM(C8:E8)</x:f>
        <x:v>3999.9999999999995</x:v>
      </x:c>
      <x:c r="G8" s="1"/>
    </x:row>
    <x:row r="9">
      <x:c r="A9" s="1" t="str">
        <x:v>asset</x:v>
      </x:c>
      <x:c r="B9" s="1" t="str">
        <x:v>corporate_loans</x:v>
      </x:c>
      <x:c r="C9" s="37" t="n">
        <x:f>SUMIFS('Positions Raw'!$G$5:$G$153,'Positions Raw'!$B$5:$B$153,$A9,'Positions Raw'!$C$5:$C$153,$B9,'Positions Raw'!$D$5:$D$153,C$4)</x:f>
        <x:v>0</x:v>
      </x:c>
      <x:c r="D9" s="37" t="n">
        <x:f>SUMIFS('Positions Raw'!$G$5:$G$153,'Positions Raw'!$B$5:$B$153,$A9,'Positions Raw'!$C$5:$C$153,$B9,'Positions Raw'!$D$5:$D$153,D$4)</x:f>
        <x:v>6999.999999999999</x:v>
      </x:c>
      <x:c r="E9" s="37" t="n">
        <x:f>SUMIFS('Positions Raw'!$G$5:$G$153,'Positions Raw'!$B$5:$B$153,$A9,'Positions Raw'!$C$5:$C$153,$B9,'Positions Raw'!$D$5:$D$153,E$4)</x:f>
        <x:v>11000</x:v>
      </x:c>
      <x:c r="F9" s="13" t="n">
        <x:f>SUM(C9:E9)</x:f>
        <x:v>18000</x:v>
      </x:c>
      <x:c r="G9" s="1"/>
    </x:row>
    <x:row r="10">
      <x:c r="A10" s="1" t="str">
        <x:v>asset</x:v>
      </x:c>
      <x:c r="B10" s="1" t="str">
        <x:v>corporate_loans_fixed</x:v>
      </x:c>
      <x:c r="C10" s="37" t="n">
        <x:f>SUMIFS('Positions Raw'!$G$5:$G$153,'Positions Raw'!$B$5:$B$153,$A10,'Positions Raw'!$C$5:$C$153,$B10,'Positions Raw'!$D$5:$D$153,C$4)</x:f>
        <x:v>14000</x:v>
      </x:c>
      <x:c r="D10" s="37" t="n">
        <x:f>SUMIFS('Positions Raw'!$G$5:$G$153,'Positions Raw'!$B$5:$B$153,$A10,'Positions Raw'!$C$5:$C$153,$B10,'Positions Raw'!$D$5:$D$153,D$4)</x:f>
        <x:v>0</x:v>
      </x:c>
      <x:c r="E10" s="37" t="n">
        <x:f>SUMIFS('Positions Raw'!$G$5:$G$153,'Positions Raw'!$B$5:$B$153,$A10,'Positions Raw'!$C$5:$C$153,$B10,'Positions Raw'!$D$5:$D$153,E$4)</x:f>
        <x:v>0</x:v>
      </x:c>
      <x:c r="F10" s="13" t="n">
        <x:f>SUM(C10:E10)</x:f>
        <x:v>14000</x:v>
      </x:c>
      <x:c r="G10" s="1"/>
    </x:row>
    <x:row r="11">
      <x:c r="A11" s="1" t="str">
        <x:v>asset</x:v>
      </x:c>
      <x:c r="B11" s="1" t="str">
        <x:v>corporate_loans_floating</x:v>
      </x:c>
      <x:c r="C11" s="37" t="n">
        <x:f>SUMIFS('Positions Raw'!$G$5:$G$153,'Positions Raw'!$B$5:$B$153,$A11,'Positions Raw'!$C$5:$C$153,$B11,'Positions Raw'!$D$5:$D$153,C$4)</x:f>
        <x:v>15000</x:v>
      </x:c>
      <x:c r="D11" s="37" t="n">
        <x:f>SUMIFS('Positions Raw'!$G$5:$G$153,'Positions Raw'!$B$5:$B$153,$A11,'Positions Raw'!$C$5:$C$153,$B11,'Positions Raw'!$D$5:$D$153,D$4)</x:f>
        <x:v>0</x:v>
      </x:c>
      <x:c r="E11" s="37" t="n">
        <x:f>SUMIFS('Positions Raw'!$G$5:$G$153,'Positions Raw'!$B$5:$B$153,$A11,'Positions Raw'!$C$5:$C$153,$B11,'Positions Raw'!$D$5:$D$153,E$4)</x:f>
        <x:v>0</x:v>
      </x:c>
      <x:c r="F11" s="13" t="n">
        <x:f>SUM(C11:E11)</x:f>
        <x:v>15000</x:v>
      </x:c>
      <x:c r="G11" s="1"/>
    </x:row>
    <x:row r="12">
      <x:c r="A12" s="1" t="str">
        <x:v>asset</x:v>
      </x:c>
      <x:c r="B12" s="1" t="str">
        <x:v>sme_loans</x:v>
      </x:c>
      <x:c r="C12" s="37" t="n">
        <x:f>SUMIFS('Positions Raw'!$G$5:$G$153,'Positions Raw'!$B$5:$B$153,$A12,'Positions Raw'!$C$5:$C$153,$B12,'Positions Raw'!$D$5:$D$153,C$4)</x:f>
        <x:v>25000</x:v>
      </x:c>
      <x:c r="D12" s="37" t="n">
        <x:f>SUMIFS('Positions Raw'!$G$5:$G$153,'Positions Raw'!$B$5:$B$153,$A12,'Positions Raw'!$C$5:$C$153,$B12,'Positions Raw'!$D$5:$D$153,D$4)</x:f>
        <x:v>0</x:v>
      </x:c>
      <x:c r="E12" s="37" t="n">
        <x:f>SUMIFS('Positions Raw'!$G$5:$G$153,'Positions Raw'!$B$5:$B$153,$A12,'Positions Raw'!$C$5:$C$153,$B12,'Positions Raw'!$D$5:$D$153,E$4)</x:f>
        <x:v>0</x:v>
      </x:c>
      <x:c r="F12" s="13" t="n">
        <x:f>SUM(C12:E12)</x:f>
        <x:v>25000</x:v>
      </x:c>
      <x:c r="G12" s="1"/>
    </x:row>
    <x:row r="13">
      <x:c r="A13" s="1" t="str">
        <x:v>asset</x:v>
      </x:c>
      <x:c r="B13" s="1" t="str">
        <x:v>mortgages</x:v>
      </x:c>
      <x:c r="C13" s="37" t="n">
        <x:f>SUMIFS('Positions Raw'!$G$5:$G$153,'Positions Raw'!$B$5:$B$153,$A13,'Positions Raw'!$C$5:$C$153,$B13,'Positions Raw'!$D$5:$D$153,C$4)</x:f>
        <x:v>22000</x:v>
      </x:c>
      <x:c r="D13" s="37" t="n">
        <x:f>SUMIFS('Positions Raw'!$G$5:$G$153,'Positions Raw'!$B$5:$B$153,$A13,'Positions Raw'!$C$5:$C$153,$B13,'Positions Raw'!$D$5:$D$153,D$4)</x:f>
        <x:v>0</x:v>
      </x:c>
      <x:c r="E13" s="37" t="n">
        <x:f>SUMIFS('Positions Raw'!$G$5:$G$153,'Positions Raw'!$B$5:$B$153,$A13,'Positions Raw'!$C$5:$C$153,$B13,'Positions Raw'!$D$5:$D$153,E$4)</x:f>
        <x:v>0</x:v>
      </x:c>
      <x:c r="F13" s="13" t="n">
        <x:f>SUM(C13:E13)</x:f>
        <x:v>22000</x:v>
      </x:c>
      <x:c r="G13" s="1"/>
    </x:row>
    <x:row r="14">
      <x:c r="A14" s="1" t="str">
        <x:v>asset</x:v>
      </x:c>
      <x:c r="B14" s="1" t="str">
        <x:v>retail_loans_fixed</x:v>
      </x:c>
      <x:c r="C14" s="37" t="n">
        <x:f>SUMIFS('Positions Raw'!$G$5:$G$153,'Positions Raw'!$B$5:$B$153,$A14,'Positions Raw'!$C$5:$C$153,$B14,'Positions Raw'!$D$5:$D$153,C$4)</x:f>
        <x:v>13000</x:v>
      </x:c>
      <x:c r="D14" s="37" t="n">
        <x:f>SUMIFS('Positions Raw'!$G$5:$G$153,'Positions Raw'!$B$5:$B$153,$A14,'Positions Raw'!$C$5:$C$153,$B14,'Positions Raw'!$D$5:$D$153,D$4)</x:f>
        <x:v>0</x:v>
      </x:c>
      <x:c r="E14" s="37" t="n">
        <x:f>SUMIFS('Positions Raw'!$G$5:$G$153,'Positions Raw'!$B$5:$B$153,$A14,'Positions Raw'!$C$5:$C$153,$B14,'Positions Raw'!$D$5:$D$153,E$4)</x:f>
        <x:v>0</x:v>
      </x:c>
      <x:c r="F14" s="13" t="n">
        <x:f>SUM(C14:E14)</x:f>
        <x:v>13000</x:v>
      </x:c>
      <x:c r="G14" s="1"/>
    </x:row>
    <x:row r="15">
      <x:c r="A15" s="1" t="str">
        <x:v>asset</x:v>
      </x:c>
      <x:c r="B15" s="1" t="str">
        <x:v>retail_loans_floating</x:v>
      </x:c>
      <x:c r="C15" s="37" t="n">
        <x:f>SUMIFS('Positions Raw'!$G$5:$G$153,'Positions Raw'!$B$5:$B$153,$A15,'Positions Raw'!$C$5:$C$153,$B15,'Positions Raw'!$D$5:$D$153,C$4)</x:f>
        <x:v>13000.000000000002</x:v>
      </x:c>
      <x:c r="D15" s="37" t="n">
        <x:f>SUMIFS('Positions Raw'!$G$5:$G$153,'Positions Raw'!$B$5:$B$153,$A15,'Positions Raw'!$C$5:$C$153,$B15,'Positions Raw'!$D$5:$D$153,D$4)</x:f>
        <x:v>0</x:v>
      </x:c>
      <x:c r="E15" s="37" t="n">
        <x:f>SUMIFS('Positions Raw'!$G$5:$G$153,'Positions Raw'!$B$5:$B$153,$A15,'Positions Raw'!$C$5:$C$153,$B15,'Positions Raw'!$D$5:$D$153,E$4)</x:f>
        <x:v>0</x:v>
      </x:c>
      <x:c r="F15" s="13" t="n">
        <x:f>SUM(C15:E15)</x:f>
        <x:v>13000.000000000002</x:v>
      </x:c>
      <x:c r="G15" s="1"/>
    </x:row>
    <x:row r="16">
      <x:c r="A16" s="1" t="str">
        <x:v>liability</x:v>
      </x:c>
      <x:c r="B16" s="1" t="str">
        <x:v>demand_deposits</x:v>
      </x:c>
      <x:c r="C16" s="37" t="n">
        <x:f>SUMIFS('Positions Raw'!$G$5:$G$153,'Positions Raw'!$B$5:$B$153,$A16,'Positions Raw'!$C$5:$C$153,$B16,'Positions Raw'!$D$5:$D$153,C$4)</x:f>
        <x:v>35000</x:v>
      </x:c>
      <x:c r="D16" s="37" t="n">
        <x:f>SUMIFS('Positions Raw'!$G$5:$G$153,'Positions Raw'!$B$5:$B$153,$A16,'Positions Raw'!$C$5:$C$153,$B16,'Positions Raw'!$D$5:$D$153,D$4)</x:f>
        <x:v>4500</x:v>
      </x:c>
      <x:c r="E16" s="37" t="n">
        <x:f>SUMIFS('Positions Raw'!$G$5:$G$153,'Positions Raw'!$B$5:$B$153,$A16,'Positions Raw'!$C$5:$C$153,$B16,'Positions Raw'!$D$5:$D$153,E$4)</x:f>
        <x:v>8000</x:v>
      </x:c>
      <x:c r="F16" s="13" t="n">
        <x:f>SUM(C16:E16)</x:f>
        <x:v>47500</x:v>
      </x:c>
      <x:c r="G16" s="1"/>
    </x:row>
    <x:row r="17">
      <x:c r="A17" s="1" t="str">
        <x:v>liability</x:v>
      </x:c>
      <x:c r="B17" s="1" t="str">
        <x:v>term_deposits</x:v>
      </x:c>
      <x:c r="C17" s="37" t="n">
        <x:f>SUMIFS('Positions Raw'!$G$5:$G$153,'Positions Raw'!$B$5:$B$153,$A17,'Positions Raw'!$C$5:$C$153,$B17,'Positions Raw'!$D$5:$D$153,C$4)</x:f>
        <x:v>57000</x:v>
      </x:c>
      <x:c r="D17" s="37" t="n">
        <x:f>SUMIFS('Positions Raw'!$G$5:$G$153,'Positions Raw'!$B$5:$B$153,$A17,'Positions Raw'!$C$5:$C$153,$B17,'Positions Raw'!$D$5:$D$153,D$4)</x:f>
        <x:v>6000.000000000001</x:v>
      </x:c>
      <x:c r="E17" s="37" t="n">
        <x:f>SUMIFS('Positions Raw'!$G$5:$G$153,'Positions Raw'!$B$5:$B$153,$A17,'Positions Raw'!$C$5:$C$153,$B17,'Positions Raw'!$D$5:$D$153,E$4)</x:f>
        <x:v>10000</x:v>
      </x:c>
      <x:c r="F17" s="13" t="n">
        <x:f>SUM(C17:E17)</x:f>
        <x:v>73000</x:v>
      </x:c>
      <x:c r="G17" s="1"/>
    </x:row>
    <x:row r="18">
      <x:c r="A18" s="1" t="str">
        <x:v>liability</x:v>
      </x:c>
      <x:c r="B18" s="1" t="str">
        <x:v>interbank_funding</x:v>
      </x:c>
      <x:c r="C18" s="37" t="n">
        <x:f>SUMIFS('Positions Raw'!$G$5:$G$153,'Positions Raw'!$B$5:$B$153,$A18,'Positions Raw'!$C$5:$C$153,$B18,'Positions Raw'!$D$5:$D$153,C$4)</x:f>
        <x:v>10000</x:v>
      </x:c>
      <x:c r="D18" s="37" t="n">
        <x:f>SUMIFS('Positions Raw'!$G$5:$G$153,'Positions Raw'!$B$5:$B$153,$A18,'Positions Raw'!$C$5:$C$153,$B18,'Positions Raw'!$D$5:$D$153,D$4)</x:f>
        <x:v>0</x:v>
      </x:c>
      <x:c r="E18" s="37" t="n">
        <x:f>SUMIFS('Positions Raw'!$G$5:$G$153,'Positions Raw'!$B$5:$B$153,$A18,'Positions Raw'!$C$5:$C$153,$B18,'Positions Raw'!$D$5:$D$153,E$4)</x:f>
        <x:v>0</x:v>
      </x:c>
      <x:c r="F18" s="13" t="n">
        <x:f>SUM(C18:E18)</x:f>
        <x:v>10000</x:v>
      </x:c>
      <x:c r="G18" s="1"/>
    </x:row>
    <x:row r="19">
      <x:c r="A19" s="1" t="str">
        <x:v>liability</x:v>
      </x:c>
      <x:c r="B19" s="1" t="str">
        <x:v>repo_funding</x:v>
      </x:c>
      <x:c r="C19" s="37" t="n">
        <x:f>SUMIFS('Positions Raw'!$G$5:$G$153,'Positions Raw'!$B$5:$B$153,$A19,'Positions Raw'!$C$5:$C$153,$B19,'Positions Raw'!$D$5:$D$153,C$4)</x:f>
        <x:v>8000</x:v>
      </x:c>
      <x:c r="D19" s="37" t="n">
        <x:f>SUMIFS('Positions Raw'!$G$5:$G$153,'Positions Raw'!$B$5:$B$153,$A19,'Positions Raw'!$C$5:$C$153,$B19,'Positions Raw'!$D$5:$D$153,D$4)</x:f>
        <x:v>0</x:v>
      </x:c>
      <x:c r="E19" s="37" t="n">
        <x:f>SUMIFS('Positions Raw'!$G$5:$G$153,'Positions Raw'!$B$5:$B$153,$A19,'Positions Raw'!$C$5:$C$153,$B19,'Positions Raw'!$D$5:$D$153,E$4)</x:f>
        <x:v>0</x:v>
      </x:c>
      <x:c r="F19" s="13" t="n">
        <x:f>SUM(C19:E19)</x:f>
        <x:v>8000</x:v>
      </x:c>
      <x:c r="G19" s="1"/>
    </x:row>
    <x:row r="20">
      <x:c r="A20" s="1" t="str">
        <x:v>liability</x:v>
      </x:c>
      <x:c r="B20" s="1" t="str">
        <x:v>wholesale_funding</x:v>
      </x:c>
      <x:c r="C20" s="37" t="n">
        <x:f>SUMIFS('Positions Raw'!$G$5:$G$153,'Positions Raw'!$B$5:$B$153,$A20,'Positions Raw'!$C$5:$C$153,$B20,'Positions Raw'!$D$5:$D$153,C$4)</x:f>
        <x:v>0</x:v>
      </x:c>
      <x:c r="D20" s="37" t="n">
        <x:f>SUMIFS('Positions Raw'!$G$5:$G$153,'Positions Raw'!$B$5:$B$153,$A20,'Positions Raw'!$C$5:$C$153,$B20,'Positions Raw'!$D$5:$D$153,D$4)</x:f>
        <x:v>3000</x:v>
      </x:c>
      <x:c r="E20" s="37" t="n">
        <x:f>SUMIFS('Positions Raw'!$G$5:$G$153,'Positions Raw'!$B$5:$B$153,$A20,'Positions Raw'!$C$5:$C$153,$B20,'Positions Raw'!$D$5:$D$153,E$4)</x:f>
        <x:v>6000</x:v>
      </x:c>
      <x:c r="F20" s="13" t="n">
        <x:f>SUM(C20:E20)</x:f>
        <x:v>9000</x:v>
      </x:c>
      <x:c r="G20" s="1"/>
    </x:row>
    <x:row r="21">
      <x:c r="A21" s="1" t="str">
        <x:v>liability</x:v>
      </x:c>
      <x:c r="B21" s="1" t="str">
        <x:v>issued_debt</x:v>
      </x:c>
      <x:c r="C21" s="37" t="n">
        <x:f>SUMIFS('Positions Raw'!$G$5:$G$153,'Positions Raw'!$B$5:$B$153,$A21,'Positions Raw'!$C$5:$C$153,$B21,'Positions Raw'!$D$5:$D$153,C$4)</x:f>
        <x:v>10000</x:v>
      </x:c>
      <x:c r="D21" s="37" t="n">
        <x:f>SUMIFS('Positions Raw'!$G$5:$G$153,'Positions Raw'!$B$5:$B$153,$A21,'Positions Raw'!$C$5:$C$153,$B21,'Positions Raw'!$D$5:$D$153,D$4)</x:f>
        <x:v>0</x:v>
      </x:c>
      <x:c r="E21" s="37" t="n">
        <x:f>SUMIFS('Positions Raw'!$G$5:$G$153,'Positions Raw'!$B$5:$B$153,$A21,'Positions Raw'!$C$5:$C$153,$B21,'Positions Raw'!$D$5:$D$153,E$4)</x:f>
        <x:v>0</x:v>
      </x:c>
      <x:c r="F21" s="13" t="n">
        <x:f>SUM(C21:E21)</x:f>
        <x:v>10000</x:v>
      </x:c>
      <x:c r="G21" s="1"/>
    </x:row>
    <x:row r="22">
      <x:c r="A22" s="1" t="str">
        <x:v>equity</x:v>
      </x:c>
      <x:c r="B22" s="1" t="str">
        <x:v>tier1_capital</x:v>
      </x:c>
      <x:c r="C22" s="37" t="n">
        <x:f>SUMIFS('Positions Raw'!$G$5:$G$153,'Positions Raw'!$B$5:$B$153,$A22,'Positions Raw'!$C$5:$C$153,$B22,'Positions Raw'!$D$5:$D$153,C$4)</x:f>
        <x:v>22500</x:v>
      </x:c>
      <x:c r="D22" s="37" t="n">
        <x:f>SUMIFS('Positions Raw'!$G$5:$G$153,'Positions Raw'!$B$5:$B$153,$A22,'Positions Raw'!$C$5:$C$153,$B22,'Positions Raw'!$D$5:$D$153,D$4)</x:f>
        <x:v>0</x:v>
      </x:c>
      <x:c r="E22" s="37" t="n">
        <x:f>SUMIFS('Positions Raw'!$G$5:$G$153,'Positions Raw'!$B$5:$B$153,$A22,'Positions Raw'!$C$5:$C$153,$B22,'Positions Raw'!$D$5:$D$153,E$4)</x:f>
        <x:v>0</x:v>
      </x:c>
      <x:c r="F22" s="13" t="n">
        <x:f>SUM(C22:E22)</x:f>
        <x:v>22500</x:v>
      </x:c>
      <x:c r="G22" s="1"/>
    </x:row>
    <x:row r="23">
      <x:c r="A23" s="1"/>
      <x:c r="B23" s="1"/>
      <x:c r="C23" s="13"/>
      <x:c r="D23" s="13"/>
      <x:c r="E23" s="13"/>
      <x:c r="F23" s="13"/>
      <x:c r="G23" s="1"/>
    </x:row>
    <x:row r="24" ht="22" customHeight="1">
      <x:c r="A24" s="9" t="str">
        <x:v>Accounting identity and funding profile</x:v>
      </x:c>
      <x:c r="B24" s="9"/>
      <x:c r="C24" s="38"/>
      <x:c r="D24" s="38"/>
      <x:c r="E24" s="38"/>
      <x:c r="F24" s="38"/>
      <x:c r="G24" s="1"/>
    </x:row>
    <x:row r="25">
      <x:c r="A25" s="35" t="str">
        <x:v>Total assets</x:v>
      </x:c>
      <x:c r="B25" s="35"/>
      <x:c r="C25" s="39"/>
      <x:c r="D25" s="39"/>
      <x:c r="E25" s="39"/>
      <x:c r="F25" s="39" t="n">
        <x:f>SUM(F5:F15)</x:f>
        <x:v>180000</x:v>
      </x:c>
      <x:c r="G25" s="1"/>
    </x:row>
    <x:row r="26">
      <x:c r="A26" s="35" t="str">
        <x:v>Total liabilities</x:v>
      </x:c>
      <x:c r="B26" s="35"/>
      <x:c r="C26" s="39"/>
      <x:c r="D26" s="39"/>
      <x:c r="E26" s="39"/>
      <x:c r="F26" s="39" t="n">
        <x:f>SUM(F16:F21)</x:f>
        <x:v>157500</x:v>
      </x:c>
      <x:c r="G26" s="1"/>
    </x:row>
    <x:row r="27">
      <x:c r="A27" s="35" t="str">
        <x:v>Tier 1 capital</x:v>
      </x:c>
      <x:c r="B27" s="35"/>
      <x:c r="C27" s="39"/>
      <x:c r="D27" s="39"/>
      <x:c r="E27" s="39"/>
      <x:c r="F27" s="39" t="n">
        <x:f>F22</x:f>
        <x:v>22500</x:v>
      </x:c>
      <x:c r="G27" s="1"/>
    </x:row>
    <x:row r="28">
      <x:c r="A28" s="36" t="str">
        <x:v>Balance check (A - L - E)</x:v>
      </x:c>
      <x:c r="B28" s="36"/>
      <x:c r="C28" s="40"/>
      <x:c r="D28" s="40"/>
      <x:c r="E28" s="40"/>
      <x:c r="F28" s="40" t="n">
        <x:f>F25-F26-F27</x:f>
        <x:v>0</x:v>
      </x:c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mergeCells>
    <x:mergeCell ref="A1:G1"/>
    <x:mergeCell ref="A2:G2"/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8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3" hidden="0" customWidth="1"/>
    <x:col min="17" max="17" width="34" hidden="0" customWidth="1"/>
  </x:cols>
  <x:sheetData>
    <x:row r="1" ht="32" customHeight="1">
      <x:c r="A1" s="4" t="str">
        <x:v>Synthetic Banking Book Positions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7" t="str">
        <x:v>Deterministic, governed synthetic bank records | Public market observations remain segregated in Sources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24" t="str">
        <x:v>position_id</x:v>
      </x:c>
      <x:c r="B4" s="24" t="str">
        <x:v>side</x:v>
      </x:c>
      <x:c r="C4" s="24" t="str">
        <x:v>product</x:v>
      </x:c>
      <x:c r="D4" s="24" t="str">
        <x:v>currency</x:v>
      </x:c>
      <x:c r="E4" s="24" t="str">
        <x:v>notional_ccy_mn</x:v>
      </x:c>
      <x:c r="F4" s="24" t="str">
        <x:v>fx_to_try</x:v>
      </x:c>
      <x:c r="G4" s="24" t="str">
        <x:v>balance_try_mn</x:v>
      </x:c>
      <x:c r="H4" s="24" t="str">
        <x:v>rate_type</x:v>
      </x:c>
      <x:c r="I4" s="24" t="str">
        <x:v>current_rate_pct</x:v>
      </x:c>
      <x:c r="J4" s="24" t="str">
        <x:v>maturity_years</x:v>
      </x:c>
      <x:c r="K4" s="24" t="str">
        <x:v>repricing_years</x:v>
      </x:c>
      <x:c r="L4" s="24" t="str">
        <x:v>hqla_level</x:v>
      </x:c>
      <x:c r="M4" s="24" t="str">
        <x:v>asf_factor</x:v>
      </x:c>
      <x:c r="N4" s="24" t="str">
        <x:v>rsf_factor</x:v>
      </x:c>
      <x:c r="O4" s="24" t="str">
        <x:v>liquidity_days</x:v>
      </x:c>
      <x:c r="P4" s="24" t="str">
        <x:v>deposit_beta</x:v>
      </x:c>
      <x:c r="Q4" s="24" t="str">
        <x:v>data_classification</x:v>
      </x:c>
    </x:row>
    <x:row r="5">
      <x:c r="A5" s="1" t="str">
        <x:v>AUR-0001</x:v>
      </x:c>
      <x:c r="B5" s="1" t="str">
        <x:v>asset</x:v>
      </x:c>
      <x:c r="C5" s="1" t="str">
        <x:v>cash_and_reserves</x:v>
      </x:c>
      <x:c r="D5" s="1" t="str">
        <x:v>TRY</x:v>
      </x:c>
      <x:c r="E5" s="30" t="n">
        <x:v>3765.537777</x:v>
      </x:c>
      <x:c r="F5" s="30" t="n">
        <x:v>1</x:v>
      </x:c>
      <x:c r="G5" s="30" t="n">
        <x:v>3765.537777</x:v>
      </x:c>
      <x:c r="H5" s="1" t="str">
        <x:v>overnight</x:v>
      </x:c>
      <x:c r="I5" s="12" t="n">
        <x:v>33.944247</x:v>
      </x:c>
      <x:c r="J5" s="12" t="n">
        <x:v>0.048599</x:v>
      </x:c>
      <x:c r="K5" s="12" t="n">
        <x:v>0.00274</x:v>
      </x:c>
      <x:c r="L5" s="12" t="str">
        <x:v>LEVEL_1</x:v>
      </x:c>
      <x:c r="M5" s="12" t="n">
        <x:v>0</x:v>
      </x:c>
      <x:c r="N5" s="12" t="n">
        <x:v>0</x:v>
      </x:c>
      <x:c r="O5" s="12" t="n">
        <x:v>1</x:v>
      </x:c>
      <x:c r="P5" s="1" t="n">
        <x:v>0</x:v>
      </x:c>
      <x:c r="Q5" s="1" t="str">
        <x:v>deterministic_synthetic_bank_position</x:v>
      </x:c>
    </x:row>
    <x:row r="6">
      <x:c r="A6" s="1" t="str">
        <x:v>AUR-0002</x:v>
      </x:c>
      <x:c r="B6" s="1" t="str">
        <x:v>asset</x:v>
      </x:c>
      <x:c r="C6" s="1" t="str">
        <x:v>cash_and_reserves</x:v>
      </x:c>
      <x:c r="D6" s="1" t="str">
        <x:v>TRY</x:v>
      </x:c>
      <x:c r="E6" s="30" t="n">
        <x:v>5296.943868</x:v>
      </x:c>
      <x:c r="F6" s="30" t="n">
        <x:v>1</x:v>
      </x:c>
      <x:c r="G6" s="30" t="n">
        <x:v>5296.943868</x:v>
      </x:c>
      <x:c r="H6" s="1" t="str">
        <x:v>overnight</x:v>
      </x:c>
      <x:c r="I6" s="12" t="n">
        <x:v>33.321403</x:v>
      </x:c>
      <x:c r="J6" s="12" t="n">
        <x:v>0.040314</x:v>
      </x:c>
      <x:c r="K6" s="12" t="n">
        <x:v>0.00274</x:v>
      </x:c>
      <x:c r="L6" s="12" t="str">
        <x:v>LEVEL_1</x:v>
      </x:c>
      <x:c r="M6" s="12" t="n">
        <x:v>0</x:v>
      </x:c>
      <x:c r="N6" s="12" t="n">
        <x:v>0</x:v>
      </x:c>
      <x:c r="O6" s="12" t="n">
        <x:v>1</x:v>
      </x:c>
      <x:c r="P6" s="1" t="n">
        <x:v>0</x:v>
      </x:c>
      <x:c r="Q6" s="1" t="str">
        <x:v>deterministic_synthetic_bank_position</x:v>
      </x:c>
    </x:row>
    <x:row r="7">
      <x:c r="A7" s="1" t="str">
        <x:v>AUR-0003</x:v>
      </x:c>
      <x:c r="B7" s="1" t="str">
        <x:v>asset</x:v>
      </x:c>
      <x:c r="C7" s="1" t="str">
        <x:v>cash_and_reserves</x:v>
      </x:c>
      <x:c r="D7" s="1" t="str">
        <x:v>TRY</x:v>
      </x:c>
      <x:c r="E7" s="30" t="n">
        <x:v>1981.046922</x:v>
      </x:c>
      <x:c r="F7" s="30" t="n">
        <x:v>1</x:v>
      </x:c>
      <x:c r="G7" s="30" t="n">
        <x:v>1981.046922</x:v>
      </x:c>
      <x:c r="H7" s="1" t="str">
        <x:v>overnight</x:v>
      </x:c>
      <x:c r="I7" s="12" t="n">
        <x:v>33.379411</x:v>
      </x:c>
      <x:c r="J7" s="12" t="n">
        <x:v>0.02855</x:v>
      </x:c>
      <x:c r="K7" s="12" t="n">
        <x:v>0.00274</x:v>
      </x:c>
      <x:c r="L7" s="12" t="str">
        <x:v>LEVEL_1</x:v>
      </x:c>
      <x:c r="M7" s="12" t="n">
        <x:v>0</x:v>
      </x:c>
      <x:c r="N7" s="12" t="n">
        <x:v>0</x:v>
      </x:c>
      <x:c r="O7" s="12" t="n">
        <x:v>1</x:v>
      </x:c>
      <x:c r="P7" s="1" t="n">
        <x:v>0</x:v>
      </x:c>
      <x:c r="Q7" s="1" t="str">
        <x:v>deterministic_synthetic_bank_position</x:v>
      </x:c>
    </x:row>
    <x:row r="8">
      <x:c r="A8" s="1" t="str">
        <x:v>AUR-0004</x:v>
      </x:c>
      <x:c r="B8" s="1" t="str">
        <x:v>asset</x:v>
      </x:c>
      <x:c r="C8" s="1" t="str">
        <x:v>cash_and_reserves</x:v>
      </x:c>
      <x:c r="D8" s="1" t="str">
        <x:v>TRY</x:v>
      </x:c>
      <x:c r="E8" s="30" t="n">
        <x:v>956.471433</x:v>
      </x:c>
      <x:c r="F8" s="30" t="n">
        <x:v>1</x:v>
      </x:c>
      <x:c r="G8" s="30" t="n">
        <x:v>956.471433</x:v>
      </x:c>
      <x:c r="H8" s="1" t="str">
        <x:v>overnight</x:v>
      </x:c>
      <x:c r="I8" s="12" t="n">
        <x:v>33.77172</x:v>
      </x:c>
      <x:c r="J8" s="12" t="n">
        <x:v>0.019197</x:v>
      </x:c>
      <x:c r="K8" s="12" t="n">
        <x:v>0.00274</x:v>
      </x:c>
      <x:c r="L8" s="12" t="str">
        <x:v>LEVEL_1</x:v>
      </x:c>
      <x:c r="M8" s="12" t="n">
        <x:v>0</x:v>
      </x:c>
      <x:c r="N8" s="12" t="n">
        <x:v>0</x:v>
      </x:c>
      <x:c r="O8" s="12" t="n">
        <x:v>1</x:v>
      </x:c>
      <x:c r="P8" s="1" t="n">
        <x:v>0</x:v>
      </x:c>
      <x:c r="Q8" s="1" t="str">
        <x:v>deterministic_synthetic_bank_position</x:v>
      </x:c>
    </x:row>
    <x:row r="9">
      <x:c r="A9" s="1" t="str">
        <x:v>AUR-0005</x:v>
      </x:c>
      <x:c r="B9" s="1" t="str">
        <x:v>asset</x:v>
      </x:c>
      <x:c r="C9" s="1" t="str">
        <x:v>interbank_assets</x:v>
      </x:c>
      <x:c r="D9" s="1" t="str">
        <x:v>TRY</x:v>
      </x:c>
      <x:c r="E9" s="30" t="n">
        <x:v>1047.312767</x:v>
      </x:c>
      <x:c r="F9" s="30" t="n">
        <x:v>1</x:v>
      </x:c>
      <x:c r="G9" s="30" t="n">
        <x:v>1047.312767</x:v>
      </x:c>
      <x:c r="H9" s="1" t="str">
        <x:v>floating</x:v>
      </x:c>
      <x:c r="I9" s="12" t="n">
        <x:v>38.989335</x:v>
      </x:c>
      <x:c r="J9" s="12" t="n">
        <x:v>0.136214</x:v>
      </x:c>
      <x:c r="K9" s="12" t="n">
        <x:v>0.136214</x:v>
      </x:c>
      <x:c r="L9" s="12" t="str">
        <x:v>LEVEL_1</x:v>
      </x:c>
      <x:c r="M9" s="12" t="n">
        <x:v>0</x:v>
      </x:c>
      <x:c r="N9" s="12" t="n">
        <x:v>0.1</x:v>
      </x:c>
      <x:c r="O9" s="12" t="n">
        <x:v>7</x:v>
      </x:c>
      <x:c r="P9" s="1" t="n">
        <x:v>0</x:v>
      </x:c>
      <x:c r="Q9" s="1" t="str">
        <x:v>deterministic_synthetic_bank_position</x:v>
      </x:c>
    </x:row>
    <x:row r="10">
      <x:c r="A10" s="1" t="str">
        <x:v>AUR-0006</x:v>
      </x:c>
      <x:c r="B10" s="1" t="str">
        <x:v>asset</x:v>
      </x:c>
      <x:c r="C10" s="1" t="str">
        <x:v>interbank_assets</x:v>
      </x:c>
      <x:c r="D10" s="1" t="str">
        <x:v>TRY</x:v>
      </x:c>
      <x:c r="E10" s="30" t="n">
        <x:v>4421.826412</x:v>
      </x:c>
      <x:c r="F10" s="30" t="n">
        <x:v>1</x:v>
      </x:c>
      <x:c r="G10" s="30" t="n">
        <x:v>4421.826412</x:v>
      </x:c>
      <x:c r="H10" s="1" t="str">
        <x:v>floating</x:v>
      </x:c>
      <x:c r="I10" s="12" t="n">
        <x:v>38.952628</x:v>
      </x:c>
      <x:c r="J10" s="12" t="n">
        <x:v>0.262374</x:v>
      </x:c>
      <x:c r="K10" s="12" t="n">
        <x:v>0.262374</x:v>
      </x:c>
      <x:c r="L10" s="12" t="str">
        <x:v>LEVEL_1</x:v>
      </x:c>
      <x:c r="M10" s="12" t="n">
        <x:v>0</x:v>
      </x:c>
      <x:c r="N10" s="12" t="n">
        <x:v>0.1</x:v>
      </x:c>
      <x:c r="O10" s="12" t="n">
        <x:v>7</x:v>
      </x:c>
      <x:c r="P10" s="1" t="n">
        <x:v>0</x:v>
      </x:c>
      <x:c r="Q10" s="1" t="str">
        <x:v>deterministic_synthetic_bank_position</x:v>
      </x:c>
    </x:row>
    <x:row r="11">
      <x:c r="A11" s="1" t="str">
        <x:v>AUR-0007</x:v>
      </x:c>
      <x:c r="B11" s="1" t="str">
        <x:v>asset</x:v>
      </x:c>
      <x:c r="C11" s="1" t="str">
        <x:v>interbank_assets</x:v>
      </x:c>
      <x:c r="D11" s="1" t="str">
        <x:v>TRY</x:v>
      </x:c>
      <x:c r="E11" s="30" t="n">
        <x:v>1535.795959</x:v>
      </x:c>
      <x:c r="F11" s="30" t="n">
        <x:v>1</x:v>
      </x:c>
      <x:c r="G11" s="30" t="n">
        <x:v>1535.795959</x:v>
      </x:c>
      <x:c r="H11" s="1" t="str">
        <x:v>floating</x:v>
      </x:c>
      <x:c r="I11" s="12" t="n">
        <x:v>39.176193</x:v>
      </x:c>
      <x:c r="J11" s="12" t="n">
        <x:v>0.348107</x:v>
      </x:c>
      <x:c r="K11" s="12" t="n">
        <x:v>0.249684</x:v>
      </x:c>
      <x:c r="L11" s="12" t="str">
        <x:v>LEVEL_1</x:v>
      </x:c>
      <x:c r="M11" s="12" t="n">
        <x:v>0</x:v>
      </x:c>
      <x:c r="N11" s="12" t="n">
        <x:v>0.1</x:v>
      </x:c>
      <x:c r="O11" s="12" t="n">
        <x:v>7</x:v>
      </x:c>
      <x:c r="P11" s="1" t="n">
        <x:v>0</x:v>
      </x:c>
      <x:c r="Q11" s="1" t="str">
        <x:v>deterministic_synthetic_bank_position</x:v>
      </x:c>
    </x:row>
    <x:row r="12">
      <x:c r="A12" s="1" t="str">
        <x:v>AUR-0008</x:v>
      </x:c>
      <x:c r="B12" s="1" t="str">
        <x:v>asset</x:v>
      </x:c>
      <x:c r="C12" s="1" t="str">
        <x:v>interbank_assets</x:v>
      </x:c>
      <x:c r="D12" s="1" t="str">
        <x:v>TRY</x:v>
      </x:c>
      <x:c r="E12" s="30" t="n">
        <x:v>995.064862</x:v>
      </x:c>
      <x:c r="F12" s="30" t="n">
        <x:v>1</x:v>
      </x:c>
      <x:c r="G12" s="30" t="n">
        <x:v>995.064862</x:v>
      </x:c>
      <x:c r="H12" s="1" t="str">
        <x:v>floating</x:v>
      </x:c>
      <x:c r="I12" s="12" t="n">
        <x:v>39.662731</x:v>
      </x:c>
      <x:c r="J12" s="12" t="n">
        <x:v>0.248604</x:v>
      </x:c>
      <x:c r="K12" s="12" t="n">
        <x:v>0.248604</x:v>
      </x:c>
      <x:c r="L12" s="12" t="str">
        <x:v>LEVEL_1</x:v>
      </x:c>
      <x:c r="M12" s="12" t="n">
        <x:v>0</x:v>
      </x:c>
      <x:c r="N12" s="12" t="n">
        <x:v>0.1</x:v>
      </x:c>
      <x:c r="O12" s="12" t="n">
        <x:v>7</x:v>
      </x:c>
      <x:c r="P12" s="1" t="n">
        <x:v>0</x:v>
      </x:c>
      <x:c r="Q12" s="1" t="str">
        <x:v>deterministic_synthetic_bank_position</x:v>
      </x:c>
    </x:row>
    <x:row r="13">
      <x:c r="A13" s="1" t="str">
        <x:v>AUR-0009</x:v>
      </x:c>
      <x:c r="B13" s="1" t="str">
        <x:v>asset</x:v>
      </x:c>
      <x:c r="C13" s="1" t="str">
        <x:v>government_securities</x:v>
      </x:c>
      <x:c r="D13" s="1" t="str">
        <x:v>TRY</x:v>
      </x:c>
      <x:c r="E13" s="30" t="n">
        <x:v>1165.703656</x:v>
      </x:c>
      <x:c r="F13" s="30" t="n">
        <x:v>1</x:v>
      </x:c>
      <x:c r="G13" s="30" t="n">
        <x:v>1165.703656</x:v>
      </x:c>
      <x:c r="H13" s="1" t="str">
        <x:v>fixed</x:v>
      </x:c>
      <x:c r="I13" s="12" t="n">
        <x:v>31.732018</x:v>
      </x:c>
      <x:c r="J13" s="12" t="n">
        <x:v>4.96324</x:v>
      </x:c>
      <x:c r="K13" s="12" t="n">
        <x:v>4.96324</x:v>
      </x:c>
      <x:c r="L13" s="12" t="str">
        <x:v>LEVEL_1</x:v>
      </x:c>
      <x:c r="M13" s="12" t="n">
        <x:v>0</x:v>
      </x:c>
      <x:c r="N13" s="12" t="n">
        <x:v>0.05</x:v>
      </x:c>
      <x:c r="O13" s="12" t="n">
        <x:v>1</x:v>
      </x:c>
      <x:c r="P13" s="1" t="n">
        <x:v>0</x:v>
      </x:c>
      <x:c r="Q13" s="1" t="str">
        <x:v>deterministic_synthetic_bank_position</x:v>
      </x:c>
    </x:row>
    <x:row r="14">
      <x:c r="A14" s="1" t="str">
        <x:v>AUR-0010</x:v>
      </x:c>
      <x:c r="B14" s="1" t="str">
        <x:v>asset</x:v>
      </x:c>
      <x:c r="C14" s="1" t="str">
        <x:v>government_securities</x:v>
      </x:c>
      <x:c r="D14" s="1" t="str">
        <x:v>TRY</x:v>
      </x:c>
      <x:c r="E14" s="30" t="n">
        <x:v>9984.054409</x:v>
      </x:c>
      <x:c r="F14" s="30" t="n">
        <x:v>1</x:v>
      </x:c>
      <x:c r="G14" s="30" t="n">
        <x:v>9984.054409</x:v>
      </x:c>
      <x:c r="H14" s="1" t="str">
        <x:v>fixed</x:v>
      </x:c>
      <x:c r="I14" s="12" t="n">
        <x:v>31.748008</x:v>
      </x:c>
      <x:c r="J14" s="12" t="n">
        <x:v>4.273471</x:v>
      </x:c>
      <x:c r="K14" s="12" t="n">
        <x:v>4.273471</x:v>
      </x:c>
      <x:c r="L14" s="12" t="str">
        <x:v>LEVEL_1</x:v>
      </x:c>
      <x:c r="M14" s="12" t="n">
        <x:v>0</x:v>
      </x:c>
      <x:c r="N14" s="12" t="n">
        <x:v>0.05</x:v>
      </x:c>
      <x:c r="O14" s="12" t="n">
        <x:v>1</x:v>
      </x:c>
      <x:c r="P14" s="1" t="n">
        <x:v>0</x:v>
      </x:c>
      <x:c r="Q14" s="1" t="str">
        <x:v>deterministic_synthetic_bank_position</x:v>
      </x:c>
    </x:row>
    <x:row r="15">
      <x:c r="A15" s="1" t="str">
        <x:v>AUR-0011</x:v>
      </x:c>
      <x:c r="B15" s="1" t="str">
        <x:v>asset</x:v>
      </x:c>
      <x:c r="C15" s="1" t="str">
        <x:v>government_securities</x:v>
      </x:c>
      <x:c r="D15" s="1" t="str">
        <x:v>TRY</x:v>
      </x:c>
      <x:c r="E15" s="30" t="n">
        <x:v>879.317216</x:v>
      </x:c>
      <x:c r="F15" s="30" t="n">
        <x:v>1</x:v>
      </x:c>
      <x:c r="G15" s="30" t="n">
        <x:v>879.317216</x:v>
      </x:c>
      <x:c r="H15" s="1" t="str">
        <x:v>fixed</x:v>
      </x:c>
      <x:c r="I15" s="12" t="n">
        <x:v>32.510992</x:v>
      </x:c>
      <x:c r="J15" s="12" t="n">
        <x:v>8.388446</x:v>
      </x:c>
      <x:c r="K15" s="12" t="n">
        <x:v>8.388446</x:v>
      </x:c>
      <x:c r="L15" s="12" t="str">
        <x:v>LEVEL_1</x:v>
      </x:c>
      <x:c r="M15" s="12" t="n">
        <x:v>0</x:v>
      </x:c>
      <x:c r="N15" s="12" t="n">
        <x:v>0.05</x:v>
      </x:c>
      <x:c r="O15" s="12" t="n">
        <x:v>1</x:v>
      </x:c>
      <x:c r="P15" s="1" t="n">
        <x:v>0</x:v>
      </x:c>
      <x:c r="Q15" s="1" t="str">
        <x:v>deterministic_synthetic_bank_position</x:v>
      </x:c>
    </x:row>
    <x:row r="16">
      <x:c r="A16" s="1" t="str">
        <x:v>AUR-0012</x:v>
      </x:c>
      <x:c r="B16" s="1" t="str">
        <x:v>asset</x:v>
      </x:c>
      <x:c r="C16" s="1" t="str">
        <x:v>government_securities</x:v>
      </x:c>
      <x:c r="D16" s="1" t="str">
        <x:v>TRY</x:v>
      </x:c>
      <x:c r="E16" s="30" t="n">
        <x:v>4082.365484</x:v>
      </x:c>
      <x:c r="F16" s="30" t="n">
        <x:v>1</x:v>
      </x:c>
      <x:c r="G16" s="30" t="n">
        <x:v>4082.365484</x:v>
      </x:c>
      <x:c r="H16" s="1" t="str">
        <x:v>fixed</x:v>
      </x:c>
      <x:c r="I16" s="12" t="n">
        <x:v>31.799294</x:v>
      </x:c>
      <x:c r="J16" s="12" t="n">
        <x:v>1.511682</x:v>
      </x:c>
      <x:c r="K16" s="12" t="n">
        <x:v>1.511682</x:v>
      </x:c>
      <x:c r="L16" s="12" t="str">
        <x:v>LEVEL_1</x:v>
      </x:c>
      <x:c r="M16" s="12" t="n">
        <x:v>0</x:v>
      </x:c>
      <x:c r="N16" s="12" t="n">
        <x:v>0.05</x:v>
      </x:c>
      <x:c r="O16" s="12" t="n">
        <x:v>1</x:v>
      </x:c>
      <x:c r="P16" s="1" t="n">
        <x:v>0</x:v>
      </x:c>
      <x:c r="Q16" s="1" t="str">
        <x:v>deterministic_synthetic_bank_position</x:v>
      </x:c>
    </x:row>
    <x:row r="17">
      <x:c r="A17" s="1" t="str">
        <x:v>AUR-0013</x:v>
      </x:c>
      <x:c r="B17" s="1" t="str">
        <x:v>asset</x:v>
      </x:c>
      <x:c r="C17" s="1" t="str">
        <x:v>government_securities</x:v>
      </x:c>
      <x:c r="D17" s="1" t="str">
        <x:v>TRY</x:v>
      </x:c>
      <x:c r="E17" s="30" t="n">
        <x:v>1650.276104</x:v>
      </x:c>
      <x:c r="F17" s="30" t="n">
        <x:v>1</x:v>
      </x:c>
      <x:c r="G17" s="30" t="n">
        <x:v>1650.276104</x:v>
      </x:c>
      <x:c r="H17" s="1" t="str">
        <x:v>fixed</x:v>
      </x:c>
      <x:c r="I17" s="12" t="n">
        <x:v>31.09416</x:v>
      </x:c>
      <x:c r="J17" s="12" t="n">
        <x:v>8.670526</x:v>
      </x:c>
      <x:c r="K17" s="12" t="n">
        <x:v>8.670526</x:v>
      </x:c>
      <x:c r="L17" s="12" t="str">
        <x:v>LEVEL_1</x:v>
      </x:c>
      <x:c r="M17" s="12" t="n">
        <x:v>0</x:v>
      </x:c>
      <x:c r="N17" s="12" t="n">
        <x:v>0.05</x:v>
      </x:c>
      <x:c r="O17" s="12" t="n">
        <x:v>1</x:v>
      </x:c>
      <x:c r="P17" s="1" t="n">
        <x:v>0</x:v>
      </x:c>
      <x:c r="Q17" s="1" t="str">
        <x:v>deterministic_synthetic_bank_position</x:v>
      </x:c>
    </x:row>
    <x:row r="18">
      <x:c r="A18" s="1" t="str">
        <x:v>AUR-0014</x:v>
      </x:c>
      <x:c r="B18" s="1" t="str">
        <x:v>asset</x:v>
      </x:c>
      <x:c r="C18" s="1" t="str">
        <x:v>government_securities</x:v>
      </x:c>
      <x:c r="D18" s="1" t="str">
        <x:v>TRY</x:v>
      </x:c>
      <x:c r="E18" s="30" t="n">
        <x:v>2260.393878</x:v>
      </x:c>
      <x:c r="F18" s="30" t="n">
        <x:v>1</x:v>
      </x:c>
      <x:c r="G18" s="30" t="n">
        <x:v>2260.393878</x:v>
      </x:c>
      <x:c r="H18" s="1" t="str">
        <x:v>fixed</x:v>
      </x:c>
      <x:c r="I18" s="12" t="n">
        <x:v>30.992059</x:v>
      </x:c>
      <x:c r="J18" s="12" t="n">
        <x:v>8.70831</x:v>
      </x:c>
      <x:c r="K18" s="12" t="n">
        <x:v>8.70831</x:v>
      </x:c>
      <x:c r="L18" s="12" t="str">
        <x:v>LEVEL_1</x:v>
      </x:c>
      <x:c r="M18" s="12" t="n">
        <x:v>0</x:v>
      </x:c>
      <x:c r="N18" s="12" t="n">
        <x:v>0.05</x:v>
      </x:c>
      <x:c r="O18" s="12" t="n">
        <x:v>1</x:v>
      </x:c>
      <x:c r="P18" s="1" t="n">
        <x:v>0</x:v>
      </x:c>
      <x:c r="Q18" s="1" t="str">
        <x:v>deterministic_synthetic_bank_position</x:v>
      </x:c>
    </x:row>
    <x:row r="19">
      <x:c r="A19" s="1" t="str">
        <x:v>AUR-0015</x:v>
      </x:c>
      <x:c r="B19" s="1" t="str">
        <x:v>asset</x:v>
      </x:c>
      <x:c r="C19" s="1" t="str">
        <x:v>government_securities</x:v>
      </x:c>
      <x:c r="D19" s="1" t="str">
        <x:v>TRY</x:v>
      </x:c>
      <x:c r="E19" s="30" t="n">
        <x:v>1836.646369</x:v>
      </x:c>
      <x:c r="F19" s="30" t="n">
        <x:v>1</x:v>
      </x:c>
      <x:c r="G19" s="30" t="n">
        <x:v>1836.646369</x:v>
      </x:c>
      <x:c r="H19" s="1" t="str">
        <x:v>fixed</x:v>
      </x:c>
      <x:c r="I19" s="12" t="n">
        <x:v>31.471656</x:v>
      </x:c>
      <x:c r="J19" s="12" t="n">
        <x:v>3.776902</x:v>
      </x:c>
      <x:c r="K19" s="12" t="n">
        <x:v>3.776902</x:v>
      </x:c>
      <x:c r="L19" s="12" t="str">
        <x:v>LEVEL_1</x:v>
      </x:c>
      <x:c r="M19" s="12" t="n">
        <x:v>0</x:v>
      </x:c>
      <x:c r="N19" s="12" t="n">
        <x:v>0.05</x:v>
      </x:c>
      <x:c r="O19" s="12" t="n">
        <x:v>1</x:v>
      </x:c>
      <x:c r="P19" s="1" t="n">
        <x:v>0</x:v>
      </x:c>
      <x:c r="Q19" s="1" t="str">
        <x:v>deterministic_synthetic_bank_position</x:v>
      </x:c>
    </x:row>
    <x:row r="20">
      <x:c r="A20" s="1" t="str">
        <x:v>AUR-0016</x:v>
      </x:c>
      <x:c r="B20" s="1" t="str">
        <x:v>asset</x:v>
      </x:c>
      <x:c r="C20" s="1" t="str">
        <x:v>government_securities</x:v>
      </x:c>
      <x:c r="D20" s="1" t="str">
        <x:v>TRY</x:v>
      </x:c>
      <x:c r="E20" s="30" t="n">
        <x:v>2141.242884</x:v>
      </x:c>
      <x:c r="F20" s="30" t="n">
        <x:v>1</x:v>
      </x:c>
      <x:c r="G20" s="30" t="n">
        <x:v>2141.242884</x:v>
      </x:c>
      <x:c r="H20" s="1" t="str">
        <x:v>fixed</x:v>
      </x:c>
      <x:c r="I20" s="12" t="n">
        <x:v>31.475899</x:v>
      </x:c>
      <x:c r="J20" s="12" t="n">
        <x:v>8.413346</x:v>
      </x:c>
      <x:c r="K20" s="12" t="n">
        <x:v>8.413346</x:v>
      </x:c>
      <x:c r="L20" s="12" t="str">
        <x:v>LEVEL_1</x:v>
      </x:c>
      <x:c r="M20" s="12" t="n">
        <x:v>0</x:v>
      </x:c>
      <x:c r="N20" s="12" t="n">
        <x:v>0.05</x:v>
      </x:c>
      <x:c r="O20" s="12" t="n">
        <x:v>1</x:v>
      </x:c>
      <x:c r="P20" s="1" t="n">
        <x:v>0</x:v>
      </x:c>
      <x:c r="Q20" s="1" t="str">
        <x:v>deterministic_synthetic_bank_position</x:v>
      </x:c>
    </x:row>
    <x:row r="21">
      <x:c r="A21" s="1" t="str">
        <x:v>AUR-0017</x:v>
      </x:c>
      <x:c r="B21" s="1" t="str">
        <x:v>asset</x:v>
      </x:c>
      <x:c r="C21" s="1" t="str">
        <x:v>corporate_bonds</x:v>
      </x:c>
      <x:c r="D21" s="1" t="str">
        <x:v>TRY</x:v>
      </x:c>
      <x:c r="E21" s="30" t="n">
        <x:v>813.872339</x:v>
      </x:c>
      <x:c r="F21" s="30" t="n">
        <x:v>1</x:v>
      </x:c>
      <x:c r="G21" s="30" t="n">
        <x:v>813.872339</x:v>
      </x:c>
      <x:c r="H21" s="1" t="str">
        <x:v>fixed</x:v>
      </x:c>
      <x:c r="I21" s="12" t="n">
        <x:v>35.389758</x:v>
      </x:c>
      <x:c r="J21" s="12" t="n">
        <x:v>4.762433</x:v>
      </x:c>
      <x:c r="K21" s="12" t="n">
        <x:v>4.762433</x:v>
      </x:c>
      <x:c r="L21" s="12" t="str">
        <x:v>LEVEL_2A</x:v>
      </x:c>
      <x:c r="M21" s="12" t="n">
        <x:v>0</x:v>
      </x:c>
      <x:c r="N21" s="12" t="n">
        <x:v>0.15</x:v>
      </x:c>
      <x:c r="O21" s="12" t="n">
        <x:v>7</x:v>
      </x:c>
      <x:c r="P21" s="1" t="n">
        <x:v>0</x:v>
      </x:c>
      <x:c r="Q21" s="1" t="str">
        <x:v>deterministic_synthetic_bank_position</x:v>
      </x:c>
    </x:row>
    <x:row r="22">
      <x:c r="A22" s="1" t="str">
        <x:v>AUR-0018</x:v>
      </x:c>
      <x:c r="B22" s="1" t="str">
        <x:v>asset</x:v>
      </x:c>
      <x:c r="C22" s="1" t="str">
        <x:v>corporate_bonds</x:v>
      </x:c>
      <x:c r="D22" s="1" t="str">
        <x:v>TRY</x:v>
      </x:c>
      <x:c r="E22" s="30" t="n">
        <x:v>1672.287349</x:v>
      </x:c>
      <x:c r="F22" s="30" t="n">
        <x:v>1</x:v>
      </x:c>
      <x:c r="G22" s="30" t="n">
        <x:v>1672.287349</x:v>
      </x:c>
      <x:c r="H22" s="1" t="str">
        <x:v>fixed</x:v>
      </x:c>
      <x:c r="I22" s="12" t="n">
        <x:v>35.026262</x:v>
      </x:c>
      <x:c r="J22" s="12" t="n">
        <x:v>4.774996</x:v>
      </x:c>
      <x:c r="K22" s="12" t="n">
        <x:v>4.774996</x:v>
      </x:c>
      <x:c r="L22" s="12" t="str">
        <x:v>LEVEL_2A</x:v>
      </x:c>
      <x:c r="M22" s="12" t="n">
        <x:v>0</x:v>
      </x:c>
      <x:c r="N22" s="12" t="n">
        <x:v>0.15</x:v>
      </x:c>
      <x:c r="O22" s="12" t="n">
        <x:v>7</x:v>
      </x:c>
      <x:c r="P22" s="1" t="n">
        <x:v>0</x:v>
      </x:c>
      <x:c r="Q22" s="1" t="str">
        <x:v>deterministic_synthetic_bank_position</x:v>
      </x:c>
    </x:row>
    <x:row r="23">
      <x:c r="A23" s="1" t="str">
        <x:v>AUR-0019</x:v>
      </x:c>
      <x:c r="B23" s="1" t="str">
        <x:v>asset</x:v>
      </x:c>
      <x:c r="C23" s="1" t="str">
        <x:v>corporate_bonds</x:v>
      </x:c>
      <x:c r="D23" s="1" t="str">
        <x:v>TRY</x:v>
      </x:c>
      <x:c r="E23" s="30" t="n">
        <x:v>793.528183</x:v>
      </x:c>
      <x:c r="F23" s="30" t="n">
        <x:v>1</x:v>
      </x:c>
      <x:c r="G23" s="30" t="n">
        <x:v>793.528183</x:v>
      </x:c>
      <x:c r="H23" s="1" t="str">
        <x:v>fixed</x:v>
      </x:c>
      <x:c r="I23" s="12" t="n">
        <x:v>34.459924</x:v>
      </x:c>
      <x:c r="J23" s="12" t="n">
        <x:v>3.235996</x:v>
      </x:c>
      <x:c r="K23" s="12" t="n">
        <x:v>3.235996</x:v>
      </x:c>
      <x:c r="L23" s="12" t="str">
        <x:v>LEVEL_2A</x:v>
      </x:c>
      <x:c r="M23" s="12" t="n">
        <x:v>0</x:v>
      </x:c>
      <x:c r="N23" s="12" t="n">
        <x:v>0.15</x:v>
      </x:c>
      <x:c r="O23" s="12" t="n">
        <x:v>7</x:v>
      </x:c>
      <x:c r="P23" s="1" t="n">
        <x:v>0</x:v>
      </x:c>
      <x:c r="Q23" s="1" t="str">
        <x:v>deterministic_synthetic_bank_position</x:v>
      </x:c>
    </x:row>
    <x:row r="24">
      <x:c r="A24" s="1" t="str">
        <x:v>AUR-0020</x:v>
      </x:c>
      <x:c r="B24" s="1" t="str">
        <x:v>asset</x:v>
      </x:c>
      <x:c r="C24" s="1" t="str">
        <x:v>corporate_bonds</x:v>
      </x:c>
      <x:c r="D24" s="1" t="str">
        <x:v>TRY</x:v>
      </x:c>
      <x:c r="E24" s="30" t="n">
        <x:v>720.312129</x:v>
      </x:c>
      <x:c r="F24" s="30" t="n">
        <x:v>1</x:v>
      </x:c>
      <x:c r="G24" s="30" t="n">
        <x:v>720.312129</x:v>
      </x:c>
      <x:c r="H24" s="1" t="str">
        <x:v>fixed</x:v>
      </x:c>
      <x:c r="I24" s="12" t="n">
        <x:v>34.885681</x:v>
      </x:c>
      <x:c r="J24" s="12" t="n">
        <x:v>4.97526</x:v>
      </x:c>
      <x:c r="K24" s="12" t="n">
        <x:v>4.97526</x:v>
      </x:c>
      <x:c r="L24" s="12" t="str">
        <x:v>LEVEL_2A</x:v>
      </x:c>
      <x:c r="M24" s="12" t="n">
        <x:v>0</x:v>
      </x:c>
      <x:c r="N24" s="12" t="n">
        <x:v>0.15</x:v>
      </x:c>
      <x:c r="O24" s="12" t="n">
        <x:v>7</x:v>
      </x:c>
      <x:c r="P24" s="1" t="n">
        <x:v>0</x:v>
      </x:c>
      <x:c r="Q24" s="1" t="str">
        <x:v>deterministic_synthetic_bank_position</x:v>
      </x:c>
    </x:row>
    <x:row r="25">
      <x:c r="A25" s="1" t="str">
        <x:v>AUR-0021</x:v>
      </x:c>
      <x:c r="B25" s="1" t="str">
        <x:v>asset</x:v>
      </x:c>
      <x:c r="C25" s="1" t="str">
        <x:v>retail_loans_fixed</x:v>
      </x:c>
      <x:c r="D25" s="1" t="str">
        <x:v>TRY</x:v>
      </x:c>
      <x:c r="E25" s="30" t="n">
        <x:v>2119.496482</x:v>
      </x:c>
      <x:c r="F25" s="30" t="n">
        <x:v>1</x:v>
      </x:c>
      <x:c r="G25" s="30" t="n">
        <x:v>2119.496482</x:v>
      </x:c>
      <x:c r="H25" s="1" t="str">
        <x:v>fixed</x:v>
      </x:c>
      <x:c r="I25" s="12" t="n">
        <x:v>46.601039</x:v>
      </x:c>
      <x:c r="J25" s="12" t="n">
        <x:v>2.213371</x:v>
      </x:c>
      <x:c r="K25" s="12" t="n">
        <x:v>2.213371</x:v>
      </x:c>
      <x:c r="L25" s="12" t="str">
        <x:v>NONE</x:v>
      </x:c>
      <x:c r="M25" s="12" t="n">
        <x:v>0</x:v>
      </x:c>
      <x:c r="N25" s="12" t="n">
        <x:v>0.85</x:v>
      </x:c>
      <x:c r="O25" s="12" t="n">
        <x:v>90</x:v>
      </x:c>
      <x:c r="P25" s="1" t="n">
        <x:v>0</x:v>
      </x:c>
      <x:c r="Q25" s="1" t="str">
        <x:v>deterministic_synthetic_bank_position</x:v>
      </x:c>
    </x:row>
    <x:row r="26">
      <x:c r="A26" s="1" t="str">
        <x:v>AUR-0022</x:v>
      </x:c>
      <x:c r="B26" s="1" t="str">
        <x:v>asset</x:v>
      </x:c>
      <x:c r="C26" s="1" t="str">
        <x:v>retail_loans_fixed</x:v>
      </x:c>
      <x:c r="D26" s="1" t="str">
        <x:v>TRY</x:v>
      </x:c>
      <x:c r="E26" s="30" t="n">
        <x:v>309.724757</x:v>
      </x:c>
      <x:c r="F26" s="30" t="n">
        <x:v>1</x:v>
      </x:c>
      <x:c r="G26" s="30" t="n">
        <x:v>309.724757</x:v>
      </x:c>
      <x:c r="H26" s="1" t="str">
        <x:v>fixed</x:v>
      </x:c>
      <x:c r="I26" s="12" t="n">
        <x:v>46.666683</x:v>
      </x:c>
      <x:c r="J26" s="12" t="n">
        <x:v>2.114083</x:v>
      </x:c>
      <x:c r="K26" s="12" t="n">
        <x:v>2.114083</x:v>
      </x:c>
      <x:c r="L26" s="12" t="str">
        <x:v>NONE</x:v>
      </x:c>
      <x:c r="M26" s="12" t="n">
        <x:v>0</x:v>
      </x:c>
      <x:c r="N26" s="12" t="n">
        <x:v>0.85</x:v>
      </x:c>
      <x:c r="O26" s="12" t="n">
        <x:v>90</x:v>
      </x:c>
      <x:c r="P26" s="1" t="n">
        <x:v>0</x:v>
      </x:c>
      <x:c r="Q26" s="1" t="str">
        <x:v>deterministic_synthetic_bank_position</x:v>
      </x:c>
    </x:row>
    <x:row r="27">
      <x:c r="A27" s="1" t="str">
        <x:v>AUR-0023</x:v>
      </x:c>
      <x:c r="B27" s="1" t="str">
        <x:v>asset</x:v>
      </x:c>
      <x:c r="C27" s="1" t="str">
        <x:v>retail_loans_fixed</x:v>
      </x:c>
      <x:c r="D27" s="1" t="str">
        <x:v>TRY</x:v>
      </x:c>
      <x:c r="E27" s="30" t="n">
        <x:v>1943.076806</x:v>
      </x:c>
      <x:c r="F27" s="30" t="n">
        <x:v>1</x:v>
      </x:c>
      <x:c r="G27" s="30" t="n">
        <x:v>1943.076806</x:v>
      </x:c>
      <x:c r="H27" s="1" t="str">
        <x:v>fixed</x:v>
      </x:c>
      <x:c r="I27" s="12" t="n">
        <x:v>46.571531</x:v>
      </x:c>
      <x:c r="J27" s="12" t="n">
        <x:v>2.045303</x:v>
      </x:c>
      <x:c r="K27" s="12" t="n">
        <x:v>2.045303</x:v>
      </x:c>
      <x:c r="L27" s="12" t="str">
        <x:v>NONE</x:v>
      </x:c>
      <x:c r="M27" s="12" t="n">
        <x:v>0</x:v>
      </x:c>
      <x:c r="N27" s="12" t="n">
        <x:v>0.85</x:v>
      </x:c>
      <x:c r="O27" s="12" t="n">
        <x:v>90</x:v>
      </x:c>
      <x:c r="P27" s="1" t="n">
        <x:v>0</x:v>
      </x:c>
      <x:c r="Q27" s="1" t="str">
        <x:v>deterministic_synthetic_bank_position</x:v>
      </x:c>
    </x:row>
    <x:row r="28">
      <x:c r="A28" s="1" t="str">
        <x:v>AUR-0024</x:v>
      </x:c>
      <x:c r="B28" s="1" t="str">
        <x:v>asset</x:v>
      </x:c>
      <x:c r="C28" s="1" t="str">
        <x:v>retail_loans_fixed</x:v>
      </x:c>
      <x:c r="D28" s="1" t="str">
        <x:v>TRY</x:v>
      </x:c>
      <x:c r="E28" s="30" t="n">
        <x:v>1023.744033</x:v>
      </x:c>
      <x:c r="F28" s="30" t="n">
        <x:v>1</x:v>
      </x:c>
      <x:c r="G28" s="30" t="n">
        <x:v>1023.744033</x:v>
      </x:c>
      <x:c r="H28" s="1" t="str">
        <x:v>fixed</x:v>
      </x:c>
      <x:c r="I28" s="12" t="n">
        <x:v>46.120894</x:v>
      </x:c>
      <x:c r="J28" s="12" t="n">
        <x:v>1.223127</x:v>
      </x:c>
      <x:c r="K28" s="12" t="n">
        <x:v>1.223127</x:v>
      </x:c>
      <x:c r="L28" s="12" t="str">
        <x:v>NONE</x:v>
      </x:c>
      <x:c r="M28" s="12" t="n">
        <x:v>0</x:v>
      </x:c>
      <x:c r="N28" s="12" t="n">
        <x:v>0.85</x:v>
      </x:c>
      <x:c r="O28" s="12" t="n">
        <x:v>90</x:v>
      </x:c>
      <x:c r="P28" s="1" t="n">
        <x:v>0</x:v>
      </x:c>
      <x:c r="Q28" s="1" t="str">
        <x:v>deterministic_synthetic_bank_position</x:v>
      </x:c>
    </x:row>
    <x:row r="29">
      <x:c r="A29" s="1" t="str">
        <x:v>AUR-0025</x:v>
      </x:c>
      <x:c r="B29" s="1" t="str">
        <x:v>asset</x:v>
      </x:c>
      <x:c r="C29" s="1" t="str">
        <x:v>retail_loans_fixed</x:v>
      </x:c>
      <x:c r="D29" s="1" t="str">
        <x:v>TRY</x:v>
      </x:c>
      <x:c r="E29" s="30" t="n">
        <x:v>4634.579222</x:v>
      </x:c>
      <x:c r="F29" s="30" t="n">
        <x:v>1</x:v>
      </x:c>
      <x:c r="G29" s="30" t="n">
        <x:v>4634.579222</x:v>
      </x:c>
      <x:c r="H29" s="1" t="str">
        <x:v>fixed</x:v>
      </x:c>
      <x:c r="I29" s="12" t="n">
        <x:v>46.570949</x:v>
      </x:c>
      <x:c r="J29" s="12" t="n">
        <x:v>3.519136</x:v>
      </x:c>
      <x:c r="K29" s="12" t="n">
        <x:v>3.519136</x:v>
      </x:c>
      <x:c r="L29" s="12" t="str">
        <x:v>NONE</x:v>
      </x:c>
      <x:c r="M29" s="12" t="n">
        <x:v>0</x:v>
      </x:c>
      <x:c r="N29" s="12" t="n">
        <x:v>0.85</x:v>
      </x:c>
      <x:c r="O29" s="12" t="n">
        <x:v>90</x:v>
      </x:c>
      <x:c r="P29" s="1" t="n">
        <x:v>0</x:v>
      </x:c>
      <x:c r="Q29" s="1" t="str">
        <x:v>deterministic_synthetic_bank_position</x:v>
      </x:c>
    </x:row>
    <x:row r="30">
      <x:c r="A30" s="1" t="str">
        <x:v>AUR-0026</x:v>
      </x:c>
      <x:c r="B30" s="1" t="str">
        <x:v>asset</x:v>
      </x:c>
      <x:c r="C30" s="1" t="str">
        <x:v>retail_loans_fixed</x:v>
      </x:c>
      <x:c r="D30" s="1" t="str">
        <x:v>TRY</x:v>
      </x:c>
      <x:c r="E30" s="30" t="n">
        <x:v>2969.3787</x:v>
      </x:c>
      <x:c r="F30" s="30" t="n">
        <x:v>1</x:v>
      </x:c>
      <x:c r="G30" s="30" t="n">
        <x:v>2969.3787</x:v>
      </x:c>
      <x:c r="H30" s="1" t="str">
        <x:v>fixed</x:v>
      </x:c>
      <x:c r="I30" s="12" t="n">
        <x:v>47.187942</x:v>
      </x:c>
      <x:c r="J30" s="12" t="n">
        <x:v>3.68133</x:v>
      </x:c>
      <x:c r="K30" s="12" t="n">
        <x:v>3.68133</x:v>
      </x:c>
      <x:c r="L30" s="12" t="str">
        <x:v>NONE</x:v>
      </x:c>
      <x:c r="M30" s="12" t="n">
        <x:v>0</x:v>
      </x:c>
      <x:c r="N30" s="12" t="n">
        <x:v>0.85</x:v>
      </x:c>
      <x:c r="O30" s="12" t="n">
        <x:v>90</x:v>
      </x:c>
      <x:c r="P30" s="1" t="n">
        <x:v>0</x:v>
      </x:c>
      <x:c r="Q30" s="1" t="str">
        <x:v>deterministic_synthetic_bank_position</x:v>
      </x:c>
    </x:row>
    <x:row r="31">
      <x:c r="A31" s="1" t="str">
        <x:v>AUR-0027</x:v>
      </x:c>
      <x:c r="B31" s="1" t="str">
        <x:v>asset</x:v>
      </x:c>
      <x:c r="C31" s="1" t="str">
        <x:v>retail_loans_floating</x:v>
      </x:c>
      <x:c r="D31" s="1" t="str">
        <x:v>TRY</x:v>
      </x:c>
      <x:c r="E31" s="30" t="n">
        <x:v>1581.532313</x:v>
      </x:c>
      <x:c r="F31" s="30" t="n">
        <x:v>1</x:v>
      </x:c>
      <x:c r="G31" s="30" t="n">
        <x:v>1581.532313</x:v>
      </x:c>
      <x:c r="H31" s="1" t="str">
        <x:v>floating</x:v>
      </x:c>
      <x:c r="I31" s="12" t="n">
        <x:v>44.577738</x:v>
      </x:c>
      <x:c r="J31" s="12" t="n">
        <x:v>3.80622</x:v>
      </x:c>
      <x:c r="K31" s="12" t="n">
        <x:v>0.289864</x:v>
      </x:c>
      <x:c r="L31" s="12" t="str">
        <x:v>NONE</x:v>
      </x:c>
      <x:c r="M31" s="12" t="n">
        <x:v>0</x:v>
      </x:c>
      <x:c r="N31" s="12" t="n">
        <x:v>0.85</x:v>
      </x:c>
      <x:c r="O31" s="12" t="n">
        <x:v>90</x:v>
      </x:c>
      <x:c r="P31" s="1" t="n">
        <x:v>0</x:v>
      </x:c>
      <x:c r="Q31" s="1" t="str">
        <x:v>deterministic_synthetic_bank_position</x:v>
      </x:c>
    </x:row>
    <x:row r="32">
      <x:c r="A32" s="1" t="str">
        <x:v>AUR-0028</x:v>
      </x:c>
      <x:c r="B32" s="1" t="str">
        <x:v>asset</x:v>
      </x:c>
      <x:c r="C32" s="1" t="str">
        <x:v>retail_loans_floating</x:v>
      </x:c>
      <x:c r="D32" s="1" t="str">
        <x:v>TRY</x:v>
      </x:c>
      <x:c r="E32" s="30" t="n">
        <x:v>2078.552733</x:v>
      </x:c>
      <x:c r="F32" s="30" t="n">
        <x:v>1</x:v>
      </x:c>
      <x:c r="G32" s="30" t="n">
        <x:v>2078.552733</x:v>
      </x:c>
      <x:c r="H32" s="1" t="str">
        <x:v>floating</x:v>
      </x:c>
      <x:c r="I32" s="12" t="n">
        <x:v>44.969262</x:v>
      </x:c>
      <x:c r="J32" s="12" t="n">
        <x:v>2.10364</x:v>
      </x:c>
      <x:c r="K32" s="12" t="n">
        <x:v>0.267759</x:v>
      </x:c>
      <x:c r="L32" s="12" t="str">
        <x:v>NONE</x:v>
      </x:c>
      <x:c r="M32" s="12" t="n">
        <x:v>0</x:v>
      </x:c>
      <x:c r="N32" s="12" t="n">
        <x:v>0.85</x:v>
      </x:c>
      <x:c r="O32" s="12" t="n">
        <x:v>90</x:v>
      </x:c>
      <x:c r="P32" s="1" t="n">
        <x:v>0</x:v>
      </x:c>
      <x:c r="Q32" s="1" t="str">
        <x:v>deterministic_synthetic_bank_position</x:v>
      </x:c>
    </x:row>
    <x:row r="33">
      <x:c r="A33" s="1" t="str">
        <x:v>AUR-0029</x:v>
      </x:c>
      <x:c r="B33" s="1" t="str">
        <x:v>asset</x:v>
      </x:c>
      <x:c r="C33" s="1" t="str">
        <x:v>retail_loans_floating</x:v>
      </x:c>
      <x:c r="D33" s="1" t="str">
        <x:v>TRY</x:v>
      </x:c>
      <x:c r="E33" s="30" t="n">
        <x:v>1585.123379</x:v>
      </x:c>
      <x:c r="F33" s="30" t="n">
        <x:v>1</x:v>
      </x:c>
      <x:c r="G33" s="30" t="n">
        <x:v>1585.123379</x:v>
      </x:c>
      <x:c r="H33" s="1" t="str">
        <x:v>floating</x:v>
      </x:c>
      <x:c r="I33" s="12" t="n">
        <x:v>44.547459</x:v>
      </x:c>
      <x:c r="J33" s="12" t="n">
        <x:v>3.358586</x:v>
      </x:c>
      <x:c r="K33" s="12" t="n">
        <x:v>0.219448</x:v>
      </x:c>
      <x:c r="L33" s="12" t="str">
        <x:v>NONE</x:v>
      </x:c>
      <x:c r="M33" s="12" t="n">
        <x:v>0</x:v>
      </x:c>
      <x:c r="N33" s="12" t="n">
        <x:v>0.85</x:v>
      </x:c>
      <x:c r="O33" s="12" t="n">
        <x:v>90</x:v>
      </x:c>
      <x:c r="P33" s="1" t="n">
        <x:v>0</x:v>
      </x:c>
      <x:c r="Q33" s="1" t="str">
        <x:v>deterministic_synthetic_bank_position</x:v>
      </x:c>
    </x:row>
    <x:row r="34">
      <x:c r="A34" s="1" t="str">
        <x:v>AUR-0030</x:v>
      </x:c>
      <x:c r="B34" s="1" t="str">
        <x:v>asset</x:v>
      </x:c>
      <x:c r="C34" s="1" t="str">
        <x:v>retail_loans_floating</x:v>
      </x:c>
      <x:c r="D34" s="1" t="str">
        <x:v>TRY</x:v>
      </x:c>
      <x:c r="E34" s="30" t="n">
        <x:v>1678.492565</x:v>
      </x:c>
      <x:c r="F34" s="30" t="n">
        <x:v>1</x:v>
      </x:c>
      <x:c r="G34" s="30" t="n">
        <x:v>1678.492565</x:v>
      </x:c>
      <x:c r="H34" s="1" t="str">
        <x:v>floating</x:v>
      </x:c>
      <x:c r="I34" s="12" t="n">
        <x:v>44.470825</x:v>
      </x:c>
      <x:c r="J34" s="12" t="n">
        <x:v>1.85732</x:v>
      </x:c>
      <x:c r="K34" s="12" t="n">
        <x:v>0.163315</x:v>
      </x:c>
      <x:c r="L34" s="12" t="str">
        <x:v>NONE</x:v>
      </x:c>
      <x:c r="M34" s="12" t="n">
        <x:v>0</x:v>
      </x:c>
      <x:c r="N34" s="12" t="n">
        <x:v>0.85</x:v>
      </x:c>
      <x:c r="O34" s="12" t="n">
        <x:v>90</x:v>
      </x:c>
      <x:c r="P34" s="1" t="n">
        <x:v>0</x:v>
      </x:c>
      <x:c r="Q34" s="1" t="str">
        <x:v>deterministic_synthetic_bank_position</x:v>
      </x:c>
    </x:row>
    <x:row r="35">
      <x:c r="A35" s="1" t="str">
        <x:v>AUR-0031</x:v>
      </x:c>
      <x:c r="B35" s="1" t="str">
        <x:v>asset</x:v>
      </x:c>
      <x:c r="C35" s="1" t="str">
        <x:v>retail_loans_floating</x:v>
      </x:c>
      <x:c r="D35" s="1" t="str">
        <x:v>TRY</x:v>
      </x:c>
      <x:c r="E35" s="30" t="n">
        <x:v>3687.788038</x:v>
      </x:c>
      <x:c r="F35" s="30" t="n">
        <x:v>1</x:v>
      </x:c>
      <x:c r="G35" s="30" t="n">
        <x:v>3687.788038</x:v>
      </x:c>
      <x:c r="H35" s="1" t="str">
        <x:v>floating</x:v>
      </x:c>
      <x:c r="I35" s="12" t="n">
        <x:v>43.717614</x:v>
      </x:c>
      <x:c r="J35" s="12" t="n">
        <x:v>2.587947</x:v>
      </x:c>
      <x:c r="K35" s="12" t="n">
        <x:v>0.095036</x:v>
      </x:c>
      <x:c r="L35" s="12" t="str">
        <x:v>NONE</x:v>
      </x:c>
      <x:c r="M35" s="12" t="n">
        <x:v>0</x:v>
      </x:c>
      <x:c r="N35" s="12" t="n">
        <x:v>0.85</x:v>
      </x:c>
      <x:c r="O35" s="12" t="n">
        <x:v>90</x:v>
      </x:c>
      <x:c r="P35" s="1" t="n">
        <x:v>0</x:v>
      </x:c>
      <x:c r="Q35" s="1" t="str">
        <x:v>deterministic_synthetic_bank_position</x:v>
      </x:c>
    </x:row>
    <x:row r="36">
      <x:c r="A36" s="1" t="str">
        <x:v>AUR-0032</x:v>
      </x:c>
      <x:c r="B36" s="1" t="str">
        <x:v>asset</x:v>
      </x:c>
      <x:c r="C36" s="1" t="str">
        <x:v>retail_loans_floating</x:v>
      </x:c>
      <x:c r="D36" s="1" t="str">
        <x:v>TRY</x:v>
      </x:c>
      <x:c r="E36" s="30" t="n">
        <x:v>2388.510972</x:v>
      </x:c>
      <x:c r="F36" s="30" t="n">
        <x:v>1</x:v>
      </x:c>
      <x:c r="G36" s="30" t="n">
        <x:v>2388.510972</x:v>
      </x:c>
      <x:c r="H36" s="1" t="str">
        <x:v>floating</x:v>
      </x:c>
      <x:c r="I36" s="12" t="n">
        <x:v>44.15483</x:v>
      </x:c>
      <x:c r="J36" s="12" t="n">
        <x:v>1.5128</x:v>
      </x:c>
      <x:c r="K36" s="12" t="n">
        <x:v>0.311457</x:v>
      </x:c>
      <x:c r="L36" s="12" t="str">
        <x:v>NONE</x:v>
      </x:c>
      <x:c r="M36" s="12" t="n">
        <x:v>0</x:v>
      </x:c>
      <x:c r="N36" s="12" t="n">
        <x:v>0.85</x:v>
      </x:c>
      <x:c r="O36" s="12" t="n">
        <x:v>90</x:v>
      </x:c>
      <x:c r="P36" s="1" t="n">
        <x:v>0</x:v>
      </x:c>
      <x:c r="Q36" s="1" t="str">
        <x:v>deterministic_synthetic_bank_position</x:v>
      </x:c>
    </x:row>
    <x:row r="37">
      <x:c r="A37" s="1" t="str">
        <x:v>AUR-0033</x:v>
      </x:c>
      <x:c r="B37" s="1" t="str">
        <x:v>asset</x:v>
      </x:c>
      <x:c r="C37" s="1" t="str">
        <x:v>mortgages</x:v>
      </x:c>
      <x:c r="D37" s="1" t="str">
        <x:v>TRY</x:v>
      </x:c>
      <x:c r="E37" s="30" t="n">
        <x:v>6232.22957</x:v>
      </x:c>
      <x:c r="F37" s="30" t="n">
        <x:v>1</x:v>
      </x:c>
      <x:c r="G37" s="30" t="n">
        <x:v>6232.22957</x:v>
      </x:c>
      <x:c r="H37" s="1" t="str">
        <x:v>fixed</x:v>
      </x:c>
      <x:c r="I37" s="12" t="n">
        <x:v>37.039028</x:v>
      </x:c>
      <x:c r="J37" s="12" t="n">
        <x:v>6.876291</x:v>
      </x:c>
      <x:c r="K37" s="12" t="n">
        <x:v>6.876291</x:v>
      </x:c>
      <x:c r="L37" s="12" t="str">
        <x:v>NONE</x:v>
      </x:c>
      <x:c r="M37" s="12" t="n">
        <x:v>0</x:v>
      </x:c>
      <x:c r="N37" s="12" t="n">
        <x:v>0.85</x:v>
      </x:c>
      <x:c r="O37" s="12" t="n">
        <x:v>180</x:v>
      </x:c>
      <x:c r="P37" s="1" t="n">
        <x:v>0</x:v>
      </x:c>
      <x:c r="Q37" s="1" t="str">
        <x:v>deterministic_synthetic_bank_position</x:v>
      </x:c>
    </x:row>
    <x:row r="38">
      <x:c r="A38" s="1" t="str">
        <x:v>AUR-0034</x:v>
      </x:c>
      <x:c r="B38" s="1" t="str">
        <x:v>asset</x:v>
      </x:c>
      <x:c r="C38" s="1" t="str">
        <x:v>mortgages</x:v>
      </x:c>
      <x:c r="D38" s="1" t="str">
        <x:v>TRY</x:v>
      </x:c>
      <x:c r="E38" s="30" t="n">
        <x:v>1513.246414</x:v>
      </x:c>
      <x:c r="F38" s="30" t="n">
        <x:v>1</x:v>
      </x:c>
      <x:c r="G38" s="30" t="n">
        <x:v>1513.246414</x:v>
      </x:c>
      <x:c r="H38" s="1" t="str">
        <x:v>fixed</x:v>
      </x:c>
      <x:c r="I38" s="12" t="n">
        <x:v>37.115823</x:v>
      </x:c>
      <x:c r="J38" s="12" t="n">
        <x:v>8.916014</x:v>
      </x:c>
      <x:c r="K38" s="12" t="n">
        <x:v>8.916014</x:v>
      </x:c>
      <x:c r="L38" s="12" t="str">
        <x:v>NONE</x:v>
      </x:c>
      <x:c r="M38" s="12" t="n">
        <x:v>0</x:v>
      </x:c>
      <x:c r="N38" s="12" t="n">
        <x:v>0.85</x:v>
      </x:c>
      <x:c r="O38" s="12" t="n">
        <x:v>180</x:v>
      </x:c>
      <x:c r="P38" s="1" t="n">
        <x:v>0</x:v>
      </x:c>
      <x:c r="Q38" s="1" t="str">
        <x:v>deterministic_synthetic_bank_position</x:v>
      </x:c>
    </x:row>
    <x:row r="39">
      <x:c r="A39" s="1" t="str">
        <x:v>AUR-0035</x:v>
      </x:c>
      <x:c r="B39" s="1" t="str">
        <x:v>asset</x:v>
      </x:c>
      <x:c r="C39" s="1" t="str">
        <x:v>mortgages</x:v>
      </x:c>
      <x:c r="D39" s="1" t="str">
        <x:v>TRY</x:v>
      </x:c>
      <x:c r="E39" s="30" t="n">
        <x:v>1229.696098</x:v>
      </x:c>
      <x:c r="F39" s="30" t="n">
        <x:v>1</x:v>
      </x:c>
      <x:c r="G39" s="30" t="n">
        <x:v>1229.696098</x:v>
      </x:c>
      <x:c r="H39" s="1" t="str">
        <x:v>fixed</x:v>
      </x:c>
      <x:c r="I39" s="12" t="n">
        <x:v>36.732153</x:v>
      </x:c>
      <x:c r="J39" s="12" t="n">
        <x:v>8.522554</x:v>
      </x:c>
      <x:c r="K39" s="12" t="n">
        <x:v>8.522554</x:v>
      </x:c>
      <x:c r="L39" s="12" t="str">
        <x:v>NONE</x:v>
      </x:c>
      <x:c r="M39" s="12" t="n">
        <x:v>0</x:v>
      </x:c>
      <x:c r="N39" s="12" t="n">
        <x:v>0.85</x:v>
      </x:c>
      <x:c r="O39" s="12" t="n">
        <x:v>180</x:v>
      </x:c>
      <x:c r="P39" s="1" t="n">
        <x:v>0</x:v>
      </x:c>
      <x:c r="Q39" s="1" t="str">
        <x:v>deterministic_synthetic_bank_position</x:v>
      </x:c>
    </x:row>
    <x:row r="40">
      <x:c r="A40" s="1" t="str">
        <x:v>AUR-0036</x:v>
      </x:c>
      <x:c r="B40" s="1" t="str">
        <x:v>asset</x:v>
      </x:c>
      <x:c r="C40" s="1" t="str">
        <x:v>mortgages</x:v>
      </x:c>
      <x:c r="D40" s="1" t="str">
        <x:v>TRY</x:v>
      </x:c>
      <x:c r="E40" s="30" t="n">
        <x:v>1670.917721</x:v>
      </x:c>
      <x:c r="F40" s="30" t="n">
        <x:v>1</x:v>
      </x:c>
      <x:c r="G40" s="30" t="n">
        <x:v>1670.917721</x:v>
      </x:c>
      <x:c r="H40" s="1" t="str">
        <x:v>fixed</x:v>
      </x:c>
      <x:c r="I40" s="12" t="n">
        <x:v>37.37987</x:v>
      </x:c>
      <x:c r="J40" s="12" t="n">
        <x:v>4.010749</x:v>
      </x:c>
      <x:c r="K40" s="12" t="n">
        <x:v>4.010749</x:v>
      </x:c>
      <x:c r="L40" s="12" t="str">
        <x:v>NONE</x:v>
      </x:c>
      <x:c r="M40" s="12" t="n">
        <x:v>0</x:v>
      </x:c>
      <x:c r="N40" s="12" t="n">
        <x:v>0.85</x:v>
      </x:c>
      <x:c r="O40" s="12" t="n">
        <x:v>180</x:v>
      </x:c>
      <x:c r="P40" s="1" t="n">
        <x:v>0</x:v>
      </x:c>
      <x:c r="Q40" s="1" t="str">
        <x:v>deterministic_synthetic_bank_position</x:v>
      </x:c>
    </x:row>
    <x:row r="41">
      <x:c r="A41" s="1" t="str">
        <x:v>AUR-0037</x:v>
      </x:c>
      <x:c r="B41" s="1" t="str">
        <x:v>asset</x:v>
      </x:c>
      <x:c r="C41" s="1" t="str">
        <x:v>mortgages</x:v>
      </x:c>
      <x:c r="D41" s="1" t="str">
        <x:v>TRY</x:v>
      </x:c>
      <x:c r="E41" s="30" t="n">
        <x:v>4024.829385</x:v>
      </x:c>
      <x:c r="F41" s="30" t="n">
        <x:v>1</x:v>
      </x:c>
      <x:c r="G41" s="30" t="n">
        <x:v>4024.829385</x:v>
      </x:c>
      <x:c r="H41" s="1" t="str">
        <x:v>fixed</x:v>
      </x:c>
      <x:c r="I41" s="12" t="n">
        <x:v>37.466937</x:v>
      </x:c>
      <x:c r="J41" s="12" t="n">
        <x:v>9.623429</x:v>
      </x:c>
      <x:c r="K41" s="12" t="n">
        <x:v>9.623429</x:v>
      </x:c>
      <x:c r="L41" s="12" t="str">
        <x:v>NONE</x:v>
      </x:c>
      <x:c r="M41" s="12" t="n">
        <x:v>0</x:v>
      </x:c>
      <x:c r="N41" s="12" t="n">
        <x:v>0.85</x:v>
      </x:c>
      <x:c r="O41" s="12" t="n">
        <x:v>180</x:v>
      </x:c>
      <x:c r="P41" s="1" t="n">
        <x:v>0</x:v>
      </x:c>
      <x:c r="Q41" s="1" t="str">
        <x:v>deterministic_synthetic_bank_position</x:v>
      </x:c>
    </x:row>
    <x:row r="42">
      <x:c r="A42" s="1" t="str">
        <x:v>AUR-0038</x:v>
      </x:c>
      <x:c r="B42" s="1" t="str">
        <x:v>asset</x:v>
      </x:c>
      <x:c r="C42" s="1" t="str">
        <x:v>mortgages</x:v>
      </x:c>
      <x:c r="D42" s="1" t="str">
        <x:v>TRY</x:v>
      </x:c>
      <x:c r="E42" s="30" t="n">
        <x:v>3225.518405</x:v>
      </x:c>
      <x:c r="F42" s="30" t="n">
        <x:v>1</x:v>
      </x:c>
      <x:c r="G42" s="30" t="n">
        <x:v>3225.518405</x:v>
      </x:c>
      <x:c r="H42" s="1" t="str">
        <x:v>fixed</x:v>
      </x:c>
      <x:c r="I42" s="12" t="n">
        <x:v>36.79757</x:v>
      </x:c>
      <x:c r="J42" s="12" t="n">
        <x:v>7.65251</x:v>
      </x:c>
      <x:c r="K42" s="12" t="n">
        <x:v>7.65251</x:v>
      </x:c>
      <x:c r="L42" s="12" t="str">
        <x:v>NONE</x:v>
      </x:c>
      <x:c r="M42" s="12" t="n">
        <x:v>0</x:v>
      </x:c>
      <x:c r="N42" s="12" t="n">
        <x:v>0.85</x:v>
      </x:c>
      <x:c r="O42" s="12" t="n">
        <x:v>180</x:v>
      </x:c>
      <x:c r="P42" s="1" t="n">
        <x:v>0</x:v>
      </x:c>
      <x:c r="Q42" s="1" t="str">
        <x:v>deterministic_synthetic_bank_position</x:v>
      </x:c>
    </x:row>
    <x:row r="43">
      <x:c r="A43" s="1" t="str">
        <x:v>AUR-0039</x:v>
      </x:c>
      <x:c r="B43" s="1" t="str">
        <x:v>asset</x:v>
      </x:c>
      <x:c r="C43" s="1" t="str">
        <x:v>mortgages</x:v>
      </x:c>
      <x:c r="D43" s="1" t="str">
        <x:v>TRY</x:v>
      </x:c>
      <x:c r="E43" s="30" t="n">
        <x:v>2163.986051</x:v>
      </x:c>
      <x:c r="F43" s="30" t="n">
        <x:v>1</x:v>
      </x:c>
      <x:c r="G43" s="30" t="n">
        <x:v>2163.986051</x:v>
      </x:c>
      <x:c r="H43" s="1" t="str">
        <x:v>fixed</x:v>
      </x:c>
      <x:c r="I43" s="12" t="n">
        <x:v>36.701738</x:v>
      </x:c>
      <x:c r="J43" s="12" t="n">
        <x:v>8.191318</x:v>
      </x:c>
      <x:c r="K43" s="12" t="n">
        <x:v>8.191318</x:v>
      </x:c>
      <x:c r="L43" s="12" t="str">
        <x:v>NONE</x:v>
      </x:c>
      <x:c r="M43" s="12" t="n">
        <x:v>0</x:v>
      </x:c>
      <x:c r="N43" s="12" t="n">
        <x:v>0.85</x:v>
      </x:c>
      <x:c r="O43" s="12" t="n">
        <x:v>180</x:v>
      </x:c>
      <x:c r="P43" s="1" t="n">
        <x:v>0</x:v>
      </x:c>
      <x:c r="Q43" s="1" t="str">
        <x:v>deterministic_synthetic_bank_position</x:v>
      </x:c>
    </x:row>
    <x:row r="44">
      <x:c r="A44" s="1" t="str">
        <x:v>AUR-0040</x:v>
      </x:c>
      <x:c r="B44" s="1" t="str">
        <x:v>asset</x:v>
      </x:c>
      <x:c r="C44" s="1" t="str">
        <x:v>mortgages</x:v>
      </x:c>
      <x:c r="D44" s="1" t="str">
        <x:v>TRY</x:v>
      </x:c>
      <x:c r="E44" s="30" t="n">
        <x:v>1939.576356</x:v>
      </x:c>
      <x:c r="F44" s="30" t="n">
        <x:v>1</x:v>
      </x:c>
      <x:c r="G44" s="30" t="n">
        <x:v>1939.576356</x:v>
      </x:c>
      <x:c r="H44" s="1" t="str">
        <x:v>fixed</x:v>
      </x:c>
      <x:c r="I44" s="12" t="n">
        <x:v>36.433387</x:v>
      </x:c>
      <x:c r="J44" s="12" t="n">
        <x:v>4.630808</x:v>
      </x:c>
      <x:c r="K44" s="12" t="n">
        <x:v>4.630808</x:v>
      </x:c>
      <x:c r="L44" s="12" t="str">
        <x:v>NONE</x:v>
      </x:c>
      <x:c r="M44" s="12" t="n">
        <x:v>0</x:v>
      </x:c>
      <x:c r="N44" s="12" t="n">
        <x:v>0.85</x:v>
      </x:c>
      <x:c r="O44" s="12" t="n">
        <x:v>180</x:v>
      </x:c>
      <x:c r="P44" s="1" t="n">
        <x:v>0</x:v>
      </x:c>
      <x:c r="Q44" s="1" t="str">
        <x:v>deterministic_synthetic_bank_position</x:v>
      </x:c>
    </x:row>
    <x:row r="45">
      <x:c r="A45" s="1" t="str">
        <x:v>AUR-0041</x:v>
      </x:c>
      <x:c r="B45" s="1" t="str">
        <x:v>asset</x:v>
      </x:c>
      <x:c r="C45" s="1" t="str">
        <x:v>sme_loans</x:v>
      </x:c>
      <x:c r="D45" s="1" t="str">
        <x:v>TRY</x:v>
      </x:c>
      <x:c r="E45" s="30" t="n">
        <x:v>1631.850593</x:v>
      </x:c>
      <x:c r="F45" s="30" t="n">
        <x:v>1</x:v>
      </x:c>
      <x:c r="G45" s="30" t="n">
        <x:v>1631.850593</x:v>
      </x:c>
      <x:c r="H45" s="1" t="str">
        <x:v>floating</x:v>
      </x:c>
      <x:c r="I45" s="12" t="n">
        <x:v>44.83779</x:v>
      </x:c>
      <x:c r="J45" s="12" t="n">
        <x:v>1.582276</x:v>
      </x:c>
      <x:c r="K45" s="12" t="n">
        <x:v>0.447051</x:v>
      </x:c>
      <x:c r="L45" s="12" t="str">
        <x:v>NONE</x:v>
      </x:c>
      <x:c r="M45" s="12" t="n">
        <x:v>0</x:v>
      </x:c>
      <x:c r="N45" s="12" t="n">
        <x:v>0.85</x:v>
      </x:c>
      <x:c r="O45" s="12" t="n">
        <x:v>90</x:v>
      </x:c>
      <x:c r="P45" s="1" t="n">
        <x:v>0</x:v>
      </x:c>
      <x:c r="Q45" s="1" t="str">
        <x:v>deterministic_synthetic_bank_position</x:v>
      </x:c>
    </x:row>
    <x:row r="46">
      <x:c r="A46" s="1" t="str">
        <x:v>AUR-0042</x:v>
      </x:c>
      <x:c r="B46" s="1" t="str">
        <x:v>asset</x:v>
      </x:c>
      <x:c r="C46" s="1" t="str">
        <x:v>sme_loans</x:v>
      </x:c>
      <x:c r="D46" s="1" t="str">
        <x:v>TRY</x:v>
      </x:c>
      <x:c r="E46" s="30" t="n">
        <x:v>424.098844</x:v>
      </x:c>
      <x:c r="F46" s="30" t="n">
        <x:v>1</x:v>
      </x:c>
      <x:c r="G46" s="30" t="n">
        <x:v>424.098844</x:v>
      </x:c>
      <x:c r="H46" s="1" t="str">
        <x:v>floating</x:v>
      </x:c>
      <x:c r="I46" s="12" t="n">
        <x:v>45.621513</x:v>
      </x:c>
      <x:c r="J46" s="12" t="n">
        <x:v>1.159908</x:v>
      </x:c>
      <x:c r="K46" s="12" t="n">
        <x:v>0.247146</x:v>
      </x:c>
      <x:c r="L46" s="12" t="str">
        <x:v>NONE</x:v>
      </x:c>
      <x:c r="M46" s="12" t="n">
        <x:v>0</x:v>
      </x:c>
      <x:c r="N46" s="12" t="n">
        <x:v>0.85</x:v>
      </x:c>
      <x:c r="O46" s="12" t="n">
        <x:v>90</x:v>
      </x:c>
      <x:c r="P46" s="1" t="n">
        <x:v>0</x:v>
      </x:c>
      <x:c r="Q46" s="1" t="str">
        <x:v>deterministic_synthetic_bank_position</x:v>
      </x:c>
    </x:row>
    <x:row r="47">
      <x:c r="A47" s="1" t="str">
        <x:v>AUR-0043</x:v>
      </x:c>
      <x:c r="B47" s="1" t="str">
        <x:v>asset</x:v>
      </x:c>
      <x:c r="C47" s="1" t="str">
        <x:v>sme_loans</x:v>
      </x:c>
      <x:c r="D47" s="1" t="str">
        <x:v>TRY</x:v>
      </x:c>
      <x:c r="E47" s="30" t="n">
        <x:v>4759.273133</x:v>
      </x:c>
      <x:c r="F47" s="30" t="n">
        <x:v>1</x:v>
      </x:c>
      <x:c r="G47" s="30" t="n">
        <x:v>4759.273133</x:v>
      </x:c>
      <x:c r="H47" s="1" t="str">
        <x:v>floating</x:v>
      </x:c>
      <x:c r="I47" s="12" t="n">
        <x:v>44.892835</x:v>
      </x:c>
      <x:c r="J47" s="12" t="n">
        <x:v>1.671913</x:v>
      </x:c>
      <x:c r="K47" s="12" t="n">
        <x:v>0.219241</x:v>
      </x:c>
      <x:c r="L47" s="12" t="str">
        <x:v>NONE</x:v>
      </x:c>
      <x:c r="M47" s="12" t="n">
        <x:v>0</x:v>
      </x:c>
      <x:c r="N47" s="12" t="n">
        <x:v>0.85</x:v>
      </x:c>
      <x:c r="O47" s="12" t="n">
        <x:v>90</x:v>
      </x:c>
      <x:c r="P47" s="1" t="n">
        <x:v>0</x:v>
      </x:c>
      <x:c r="Q47" s="1" t="str">
        <x:v>deterministic_synthetic_bank_position</x:v>
      </x:c>
    </x:row>
    <x:row r="48">
      <x:c r="A48" s="1" t="str">
        <x:v>AUR-0044</x:v>
      </x:c>
      <x:c r="B48" s="1" t="str">
        <x:v>asset</x:v>
      </x:c>
      <x:c r="C48" s="1" t="str">
        <x:v>sme_loans</x:v>
      </x:c>
      <x:c r="D48" s="1" t="str">
        <x:v>TRY</x:v>
      </x:c>
      <x:c r="E48" s="30" t="n">
        <x:v>3609.534815</x:v>
      </x:c>
      <x:c r="F48" s="30" t="n">
        <x:v>1</x:v>
      </x:c>
      <x:c r="G48" s="30" t="n">
        <x:v>3609.534815</x:v>
      </x:c>
      <x:c r="H48" s="1" t="str">
        <x:v>floating</x:v>
      </x:c>
      <x:c r="I48" s="12" t="n">
        <x:v>45.329964</x:v>
      </x:c>
      <x:c r="J48" s="12" t="n">
        <x:v>1.203587</x:v>
      </x:c>
      <x:c r="K48" s="12" t="n">
        <x:v>0.160586</x:v>
      </x:c>
      <x:c r="L48" s="12" t="str">
        <x:v>NONE</x:v>
      </x:c>
      <x:c r="M48" s="12" t="n">
        <x:v>0</x:v>
      </x:c>
      <x:c r="N48" s="12" t="n">
        <x:v>0.85</x:v>
      </x:c>
      <x:c r="O48" s="12" t="n">
        <x:v>90</x:v>
      </x:c>
      <x:c r="P48" s="1" t="n">
        <x:v>0</x:v>
      </x:c>
      <x:c r="Q48" s="1" t="str">
        <x:v>deterministic_synthetic_bank_position</x:v>
      </x:c>
    </x:row>
    <x:row r="49">
      <x:c r="A49" s="1" t="str">
        <x:v>AUR-0045</x:v>
      </x:c>
      <x:c r="B49" s="1" t="str">
        <x:v>asset</x:v>
      </x:c>
      <x:c r="C49" s="1" t="str">
        <x:v>sme_loans</x:v>
      </x:c>
      <x:c r="D49" s="1" t="str">
        <x:v>TRY</x:v>
      </x:c>
      <x:c r="E49" s="30" t="n">
        <x:v>8376.247143</x:v>
      </x:c>
      <x:c r="F49" s="30" t="n">
        <x:v>1</x:v>
      </x:c>
      <x:c r="G49" s="30" t="n">
        <x:v>8376.247143</x:v>
      </x:c>
      <x:c r="H49" s="1" t="str">
        <x:v>floating</x:v>
      </x:c>
      <x:c r="I49" s="12" t="n">
        <x:v>45.270051</x:v>
      </x:c>
      <x:c r="J49" s="12" t="n">
        <x:v>0.978836</x:v>
      </x:c>
      <x:c r="K49" s="12" t="n">
        <x:v>0.221721</x:v>
      </x:c>
      <x:c r="L49" s="12" t="str">
        <x:v>NONE</x:v>
      </x:c>
      <x:c r="M49" s="12" t="n">
        <x:v>0</x:v>
      </x:c>
      <x:c r="N49" s="12" t="n">
        <x:v>0.85</x:v>
      </x:c>
      <x:c r="O49" s="12" t="n">
        <x:v>90</x:v>
      </x:c>
      <x:c r="P49" s="1" t="n">
        <x:v>0</x:v>
      </x:c>
      <x:c r="Q49" s="1" t="str">
        <x:v>deterministic_synthetic_bank_position</x:v>
      </x:c>
    </x:row>
    <x:row r="50">
      <x:c r="A50" s="1" t="str">
        <x:v>AUR-0046</x:v>
      </x:c>
      <x:c r="B50" s="1" t="str">
        <x:v>asset</x:v>
      </x:c>
      <x:c r="C50" s="1" t="str">
        <x:v>sme_loans</x:v>
      </x:c>
      <x:c r="D50" s="1" t="str">
        <x:v>TRY</x:v>
      </x:c>
      <x:c r="E50" s="30" t="n">
        <x:v>1504.015181</x:v>
      </x:c>
      <x:c r="F50" s="30" t="n">
        <x:v>1</x:v>
      </x:c>
      <x:c r="G50" s="30" t="n">
        <x:v>1504.015181</x:v>
      </x:c>
      <x:c r="H50" s="1" t="str">
        <x:v>floating</x:v>
      </x:c>
      <x:c r="I50" s="12" t="n">
        <x:v>44.394952</x:v>
      </x:c>
      <x:c r="J50" s="12" t="n">
        <x:v>3.954579</x:v>
      </x:c>
      <x:c r="K50" s="12" t="n">
        <x:v>0.218426</x:v>
      </x:c>
      <x:c r="L50" s="12" t="str">
        <x:v>NONE</x:v>
      </x:c>
      <x:c r="M50" s="12" t="n">
        <x:v>0</x:v>
      </x:c>
      <x:c r="N50" s="12" t="n">
        <x:v>0.85</x:v>
      </x:c>
      <x:c r="O50" s="12" t="n">
        <x:v>90</x:v>
      </x:c>
      <x:c r="P50" s="1" t="n">
        <x:v>0</x:v>
      </x:c>
      <x:c r="Q50" s="1" t="str">
        <x:v>deterministic_synthetic_bank_position</x:v>
      </x:c>
    </x:row>
    <x:row r="51">
      <x:c r="A51" s="1" t="str">
        <x:v>AUR-0047</x:v>
      </x:c>
      <x:c r="B51" s="1" t="str">
        <x:v>asset</x:v>
      </x:c>
      <x:c r="C51" s="1" t="str">
        <x:v>sme_loans</x:v>
      </x:c>
      <x:c r="D51" s="1" t="str">
        <x:v>TRY</x:v>
      </x:c>
      <x:c r="E51" s="30" t="n">
        <x:v>3245.873024</x:v>
      </x:c>
      <x:c r="F51" s="30" t="n">
        <x:v>1</x:v>
      </x:c>
      <x:c r="G51" s="30" t="n">
        <x:v>3245.873024</x:v>
      </x:c>
      <x:c r="H51" s="1" t="str">
        <x:v>floating</x:v>
      </x:c>
      <x:c r="I51" s="12" t="n">
        <x:v>45.273578</x:v>
      </x:c>
      <x:c r="J51" s="12" t="n">
        <x:v>3.743375</x:v>
      </x:c>
      <x:c r="K51" s="12" t="n">
        <x:v>0.215806</x:v>
      </x:c>
      <x:c r="L51" s="12" t="str">
        <x:v>NONE</x:v>
      </x:c>
      <x:c r="M51" s="12" t="n">
        <x:v>0</x:v>
      </x:c>
      <x:c r="N51" s="12" t="n">
        <x:v>0.85</x:v>
      </x:c>
      <x:c r="O51" s="12" t="n">
        <x:v>90</x:v>
      </x:c>
      <x:c r="P51" s="1" t="n">
        <x:v>0</x:v>
      </x:c>
      <x:c r="Q51" s="1" t="str">
        <x:v>deterministic_synthetic_bank_position</x:v>
      </x:c>
    </x:row>
    <x:row r="52">
      <x:c r="A52" s="1" t="str">
        <x:v>AUR-0048</x:v>
      </x:c>
      <x:c r="B52" s="1" t="str">
        <x:v>asset</x:v>
      </x:c>
      <x:c r="C52" s="1" t="str">
        <x:v>sme_loans</x:v>
      </x:c>
      <x:c r="D52" s="1" t="str">
        <x:v>TRY</x:v>
      </x:c>
      <x:c r="E52" s="30" t="n">
        <x:v>1449.107267</x:v>
      </x:c>
      <x:c r="F52" s="30" t="n">
        <x:v>1</x:v>
      </x:c>
      <x:c r="G52" s="30" t="n">
        <x:v>1449.107267</x:v>
      </x:c>
      <x:c r="H52" s="1" t="str">
        <x:v>floating</x:v>
      </x:c>
      <x:c r="I52" s="12" t="n">
        <x:v>45.443508</x:v>
      </x:c>
      <x:c r="J52" s="12" t="n">
        <x:v>1.266124</x:v>
      </x:c>
      <x:c r="K52" s="12" t="n">
        <x:v>0.388147</x:v>
      </x:c>
      <x:c r="L52" s="12" t="str">
        <x:v>NONE</x:v>
      </x:c>
      <x:c r="M52" s="12" t="n">
        <x:v>0</x:v>
      </x:c>
      <x:c r="N52" s="12" t="n">
        <x:v>0.85</x:v>
      </x:c>
      <x:c r="O52" s="12" t="n">
        <x:v>90</x:v>
      </x:c>
      <x:c r="P52" s="1" t="n">
        <x:v>0</x:v>
      </x:c>
      <x:c r="Q52" s="1" t="str">
        <x:v>deterministic_synthetic_bank_position</x:v>
      </x:c>
    </x:row>
    <x:row r="53">
      <x:c r="A53" s="1" t="str">
        <x:v>AUR-0049</x:v>
      </x:c>
      <x:c r="B53" s="1" t="str">
        <x:v>asset</x:v>
      </x:c>
      <x:c r="C53" s="1" t="str">
        <x:v>corporate_loans_fixed</x:v>
      </x:c>
      <x:c r="D53" s="1" t="str">
        <x:v>TRY</x:v>
      </x:c>
      <x:c r="E53" s="30" t="n">
        <x:v>952.570714</x:v>
      </x:c>
      <x:c r="F53" s="30" t="n">
        <x:v>1</x:v>
      </x:c>
      <x:c r="G53" s="30" t="n">
        <x:v>952.570714</x:v>
      </x:c>
      <x:c r="H53" s="1" t="str">
        <x:v>fixed</x:v>
      </x:c>
      <x:c r="I53" s="12" t="n">
        <x:v>41.792361</x:v>
      </x:c>
      <x:c r="J53" s="12" t="n">
        <x:v>3.060101</x:v>
      </x:c>
      <x:c r="K53" s="12" t="n">
        <x:v>3.060101</x:v>
      </x:c>
      <x:c r="L53" s="12" t="str">
        <x:v>NONE</x:v>
      </x:c>
      <x:c r="M53" s="12" t="n">
        <x:v>0</x:v>
      </x:c>
      <x:c r="N53" s="12" t="n">
        <x:v>0.85</x:v>
      </x:c>
      <x:c r="O53" s="12" t="n">
        <x:v>90</x:v>
      </x:c>
      <x:c r="P53" s="1" t="n">
        <x:v>0</x:v>
      </x:c>
      <x:c r="Q53" s="1" t="str">
        <x:v>deterministic_synthetic_bank_position</x:v>
      </x:c>
    </x:row>
    <x:row r="54">
      <x:c r="A54" s="1" t="str">
        <x:v>AUR-0050</x:v>
      </x:c>
      <x:c r="B54" s="1" t="str">
        <x:v>asset</x:v>
      </x:c>
      <x:c r="C54" s="1" t="str">
        <x:v>corporate_loans_fixed</x:v>
      </x:c>
      <x:c r="D54" s="1" t="str">
        <x:v>TRY</x:v>
      </x:c>
      <x:c r="E54" s="30" t="n">
        <x:v>2272.469657</x:v>
      </x:c>
      <x:c r="F54" s="30" t="n">
        <x:v>1</x:v>
      </x:c>
      <x:c r="G54" s="30" t="n">
        <x:v>2272.469657</x:v>
      </x:c>
      <x:c r="H54" s="1" t="str">
        <x:v>fixed</x:v>
      </x:c>
      <x:c r="I54" s="12" t="n">
        <x:v>42.499206</x:v>
      </x:c>
      <x:c r="J54" s="12" t="n">
        <x:v>4.929693</x:v>
      </x:c>
      <x:c r="K54" s="12" t="n">
        <x:v>4.929693</x:v>
      </x:c>
      <x:c r="L54" s="12" t="str">
        <x:v>NONE</x:v>
      </x:c>
      <x:c r="M54" s="12" t="n">
        <x:v>0</x:v>
      </x:c>
      <x:c r="N54" s="12" t="n">
        <x:v>0.85</x:v>
      </x:c>
      <x:c r="O54" s="12" t="n">
        <x:v>90</x:v>
      </x:c>
      <x:c r="P54" s="1" t="n">
        <x:v>0</x:v>
      </x:c>
      <x:c r="Q54" s="1" t="str">
        <x:v>deterministic_synthetic_bank_position</x:v>
      </x:c>
    </x:row>
    <x:row r="55">
      <x:c r="A55" s="1" t="str">
        <x:v>AUR-0051</x:v>
      </x:c>
      <x:c r="B55" s="1" t="str">
        <x:v>asset</x:v>
      </x:c>
      <x:c r="C55" s="1" t="str">
        <x:v>corporate_loans_fixed</x:v>
      </x:c>
      <x:c r="D55" s="1" t="str">
        <x:v>TRY</x:v>
      </x:c>
      <x:c r="E55" s="30" t="n">
        <x:v>3230.215974</x:v>
      </x:c>
      <x:c r="F55" s="30" t="n">
        <x:v>1</x:v>
      </x:c>
      <x:c r="G55" s="30" t="n">
        <x:v>3230.215974</x:v>
      </x:c>
      <x:c r="H55" s="1" t="str">
        <x:v>fixed</x:v>
      </x:c>
      <x:c r="I55" s="12" t="n">
        <x:v>41.555779</x:v>
      </x:c>
      <x:c r="J55" s="12" t="n">
        <x:v>4.473732</x:v>
      </x:c>
      <x:c r="K55" s="12" t="n">
        <x:v>4.473732</x:v>
      </x:c>
      <x:c r="L55" s="12" t="str">
        <x:v>NONE</x:v>
      </x:c>
      <x:c r="M55" s="12" t="n">
        <x:v>0</x:v>
      </x:c>
      <x:c r="N55" s="12" t="n">
        <x:v>0.85</x:v>
      </x:c>
      <x:c r="O55" s="12" t="n">
        <x:v>90</x:v>
      </x:c>
      <x:c r="P55" s="1" t="n">
        <x:v>0</x:v>
      </x:c>
      <x:c r="Q55" s="1" t="str">
        <x:v>deterministic_synthetic_bank_position</x:v>
      </x:c>
    </x:row>
    <x:row r="56">
      <x:c r="A56" s="1" t="str">
        <x:v>AUR-0052</x:v>
      </x:c>
      <x:c r="B56" s="1" t="str">
        <x:v>asset</x:v>
      </x:c>
      <x:c r="C56" s="1" t="str">
        <x:v>corporate_loans_fixed</x:v>
      </x:c>
      <x:c r="D56" s="1" t="str">
        <x:v>TRY</x:v>
      </x:c>
      <x:c r="E56" s="30" t="n">
        <x:v>3080.944534</x:v>
      </x:c>
      <x:c r="F56" s="30" t="n">
        <x:v>1</x:v>
      </x:c>
      <x:c r="G56" s="30" t="n">
        <x:v>3080.944534</x:v>
      </x:c>
      <x:c r="H56" s="1" t="str">
        <x:v>fixed</x:v>
      </x:c>
      <x:c r="I56" s="12" t="n">
        <x:v>42.333167</x:v>
      </x:c>
      <x:c r="J56" s="12" t="n">
        <x:v>3.886749</x:v>
      </x:c>
      <x:c r="K56" s="12" t="n">
        <x:v>3.886749</x:v>
      </x:c>
      <x:c r="L56" s="12" t="str">
        <x:v>NONE</x:v>
      </x:c>
      <x:c r="M56" s="12" t="n">
        <x:v>0</x:v>
      </x:c>
      <x:c r="N56" s="12" t="n">
        <x:v>0.85</x:v>
      </x:c>
      <x:c r="O56" s="12" t="n">
        <x:v>90</x:v>
      </x:c>
      <x:c r="P56" s="1" t="n">
        <x:v>0</x:v>
      </x:c>
      <x:c r="Q56" s="1" t="str">
        <x:v>deterministic_synthetic_bank_position</x:v>
      </x:c>
    </x:row>
    <x:row r="57">
      <x:c r="A57" s="1" t="str">
        <x:v>AUR-0053</x:v>
      </x:c>
      <x:c r="B57" s="1" t="str">
        <x:v>asset</x:v>
      </x:c>
      <x:c r="C57" s="1" t="str">
        <x:v>corporate_loans_fixed</x:v>
      </x:c>
      <x:c r="D57" s="1" t="str">
        <x:v>TRY</x:v>
      </x:c>
      <x:c r="E57" s="30" t="n">
        <x:v>497.081276</x:v>
      </x:c>
      <x:c r="F57" s="30" t="n">
        <x:v>1</x:v>
      </x:c>
      <x:c r="G57" s="30" t="n">
        <x:v>497.081276</x:v>
      </x:c>
      <x:c r="H57" s="1" t="str">
        <x:v>fixed</x:v>
      </x:c>
      <x:c r="I57" s="12" t="n">
        <x:v>41.584027</x:v>
      </x:c>
      <x:c r="J57" s="12" t="n">
        <x:v>1.197814</x:v>
      </x:c>
      <x:c r="K57" s="12" t="n">
        <x:v>1.197814</x:v>
      </x:c>
      <x:c r="L57" s="12" t="str">
        <x:v>NONE</x:v>
      </x:c>
      <x:c r="M57" s="12" t="n">
        <x:v>0</x:v>
      </x:c>
      <x:c r="N57" s="12" t="n">
        <x:v>0.85</x:v>
      </x:c>
      <x:c r="O57" s="12" t="n">
        <x:v>90</x:v>
      </x:c>
      <x:c r="P57" s="1" t="n">
        <x:v>0</x:v>
      </x:c>
      <x:c r="Q57" s="1" t="str">
        <x:v>deterministic_synthetic_bank_position</x:v>
      </x:c>
    </x:row>
    <x:row r="58">
      <x:c r="A58" s="1" t="str">
        <x:v>AUR-0054</x:v>
      </x:c>
      <x:c r="B58" s="1" t="str">
        <x:v>asset</x:v>
      </x:c>
      <x:c r="C58" s="1" t="str">
        <x:v>corporate_loans_fixed</x:v>
      </x:c>
      <x:c r="D58" s="1" t="str">
        <x:v>TRY</x:v>
      </x:c>
      <x:c r="E58" s="30" t="n">
        <x:v>3966.717845</x:v>
      </x:c>
      <x:c r="F58" s="30" t="n">
        <x:v>1</x:v>
      </x:c>
      <x:c r="G58" s="30" t="n">
        <x:v>3966.717845</x:v>
      </x:c>
      <x:c r="H58" s="1" t="str">
        <x:v>fixed</x:v>
      </x:c>
      <x:c r="I58" s="12" t="n">
        <x:v>41.79111</x:v>
      </x:c>
      <x:c r="J58" s="12" t="n">
        <x:v>3.808771</x:v>
      </x:c>
      <x:c r="K58" s="12" t="n">
        <x:v>3.808771</x:v>
      </x:c>
      <x:c r="L58" s="12" t="str">
        <x:v>NONE</x:v>
      </x:c>
      <x:c r="M58" s="12" t="n">
        <x:v>0</x:v>
      </x:c>
      <x:c r="N58" s="12" t="n">
        <x:v>0.85</x:v>
      </x:c>
      <x:c r="O58" s="12" t="n">
        <x:v>90</x:v>
      </x:c>
      <x:c r="P58" s="1" t="n">
        <x:v>0</x:v>
      </x:c>
      <x:c r="Q58" s="1" t="str">
        <x:v>deterministic_synthetic_bank_position</x:v>
      </x:c>
    </x:row>
    <x:row r="59">
      <x:c r="A59" s="1" t="str">
        <x:v>AUR-0055</x:v>
      </x:c>
      <x:c r="B59" s="1" t="str">
        <x:v>asset</x:v>
      </x:c>
      <x:c r="C59" s="1" t="str">
        <x:v>corporate_loans_floating</x:v>
      </x:c>
      <x:c r="D59" s="1" t="str">
        <x:v>TRY</x:v>
      </x:c>
      <x:c r="E59" s="30" t="n">
        <x:v>4051.687942</x:v>
      </x:c>
      <x:c r="F59" s="30" t="n">
        <x:v>1</x:v>
      </x:c>
      <x:c r="G59" s="30" t="n">
        <x:v>4051.687942</x:v>
      </x:c>
      <x:c r="H59" s="1" t="str">
        <x:v>floating</x:v>
      </x:c>
      <x:c r="I59" s="12" t="n">
        <x:v>40.951222</x:v>
      </x:c>
      <x:c r="J59" s="12" t="n">
        <x:v>2.03762</x:v>
      </x:c>
      <x:c r="K59" s="12" t="n">
        <x:v>0.327427</x:v>
      </x:c>
      <x:c r="L59" s="12" t="str">
        <x:v>NONE</x:v>
      </x:c>
      <x:c r="M59" s="12" t="n">
        <x:v>0</x:v>
      </x:c>
      <x:c r="N59" s="12" t="n">
        <x:v>0.85</x:v>
      </x:c>
      <x:c r="O59" s="12" t="n">
        <x:v>90</x:v>
      </x:c>
      <x:c r="P59" s="1" t="n">
        <x:v>0</x:v>
      </x:c>
      <x:c r="Q59" s="1" t="str">
        <x:v>deterministic_synthetic_bank_position</x:v>
      </x:c>
    </x:row>
    <x:row r="60">
      <x:c r="A60" s="1" t="str">
        <x:v>AUR-0056</x:v>
      </x:c>
      <x:c r="B60" s="1" t="str">
        <x:v>asset</x:v>
      </x:c>
      <x:c r="C60" s="1" t="str">
        <x:v>corporate_loans_floating</x:v>
      </x:c>
      <x:c r="D60" s="1" t="str">
        <x:v>TRY</x:v>
      </x:c>
      <x:c r="E60" s="30" t="n">
        <x:v>791.1981</x:v>
      </x:c>
      <x:c r="F60" s="30" t="n">
        <x:v>1</x:v>
      </x:c>
      <x:c r="G60" s="30" t="n">
        <x:v>791.1981</x:v>
      </x:c>
      <x:c r="H60" s="1" t="str">
        <x:v>floating</x:v>
      </x:c>
      <x:c r="I60" s="12" t="n">
        <x:v>40.288033</x:v>
      </x:c>
      <x:c r="J60" s="12" t="n">
        <x:v>1.391902</x:v>
      </x:c>
      <x:c r="K60" s="12" t="n">
        <x:v>0.261626</x:v>
      </x:c>
      <x:c r="L60" s="12" t="str">
        <x:v>NONE</x:v>
      </x:c>
      <x:c r="M60" s="12" t="n">
        <x:v>0</x:v>
      </x:c>
      <x:c r="N60" s="12" t="n">
        <x:v>0.85</x:v>
      </x:c>
      <x:c r="O60" s="12" t="n">
        <x:v>90</x:v>
      </x:c>
      <x:c r="P60" s="1" t="n">
        <x:v>0</x:v>
      </x:c>
      <x:c r="Q60" s="1" t="str">
        <x:v>deterministic_synthetic_bank_position</x:v>
      </x:c>
    </x:row>
    <x:row r="61">
      <x:c r="A61" s="1" t="str">
        <x:v>AUR-0057</x:v>
      </x:c>
      <x:c r="B61" s="1" t="str">
        <x:v>asset</x:v>
      </x:c>
      <x:c r="C61" s="1" t="str">
        <x:v>corporate_loans_floating</x:v>
      </x:c>
      <x:c r="D61" s="1" t="str">
        <x:v>TRY</x:v>
      </x:c>
      <x:c r="E61" s="30" t="n">
        <x:v>711.371028</x:v>
      </x:c>
      <x:c r="F61" s="30" t="n">
        <x:v>1</x:v>
      </x:c>
      <x:c r="G61" s="30" t="n">
        <x:v>711.371028</x:v>
      </x:c>
      <x:c r="H61" s="1" t="str">
        <x:v>floating</x:v>
      </x:c>
      <x:c r="I61" s="12" t="n">
        <x:v>41.109794</x:v>
      </x:c>
      <x:c r="J61" s="12" t="n">
        <x:v>3.778367</x:v>
      </x:c>
      <x:c r="K61" s="12" t="n">
        <x:v>0.480743</x:v>
      </x:c>
      <x:c r="L61" s="12" t="str">
        <x:v>NONE</x:v>
      </x:c>
      <x:c r="M61" s="12" t="n">
        <x:v>0</x:v>
      </x:c>
      <x:c r="N61" s="12" t="n">
        <x:v>0.85</x:v>
      </x:c>
      <x:c r="O61" s="12" t="n">
        <x:v>90</x:v>
      </x:c>
      <x:c r="P61" s="1" t="n">
        <x:v>0</x:v>
      </x:c>
      <x:c r="Q61" s="1" t="str">
        <x:v>deterministic_synthetic_bank_position</x:v>
      </x:c>
    </x:row>
    <x:row r="62">
      <x:c r="A62" s="1" t="str">
        <x:v>AUR-0058</x:v>
      </x:c>
      <x:c r="B62" s="1" t="str">
        <x:v>asset</x:v>
      </x:c>
      <x:c r="C62" s="1" t="str">
        <x:v>corporate_loans_floating</x:v>
      </x:c>
      <x:c r="D62" s="1" t="str">
        <x:v>TRY</x:v>
      </x:c>
      <x:c r="E62" s="30" t="n">
        <x:v>1332.032796</x:v>
      </x:c>
      <x:c r="F62" s="30" t="n">
        <x:v>1</x:v>
      </x:c>
      <x:c r="G62" s="30" t="n">
        <x:v>1332.032796</x:v>
      </x:c>
      <x:c r="H62" s="1" t="str">
        <x:v>floating</x:v>
      </x:c>
      <x:c r="I62" s="12" t="n">
        <x:v>41.037943</x:v>
      </x:c>
      <x:c r="J62" s="12" t="n">
        <x:v>3.484273</x:v>
      </x:c>
      <x:c r="K62" s="12" t="n">
        <x:v>0.329455</x:v>
      </x:c>
      <x:c r="L62" s="12" t="str">
        <x:v>NONE</x:v>
      </x:c>
      <x:c r="M62" s="12" t="n">
        <x:v>0</x:v>
      </x:c>
      <x:c r="N62" s="12" t="n">
        <x:v>0.85</x:v>
      </x:c>
      <x:c r="O62" s="12" t="n">
        <x:v>90</x:v>
      </x:c>
      <x:c r="P62" s="1" t="n">
        <x:v>0</x:v>
      </x:c>
      <x:c r="Q62" s="1" t="str">
        <x:v>deterministic_synthetic_bank_position</x:v>
      </x:c>
    </x:row>
    <x:row r="63">
      <x:c r="A63" s="1" t="str">
        <x:v>AUR-0059</x:v>
      </x:c>
      <x:c r="B63" s="1" t="str">
        <x:v>asset</x:v>
      </x:c>
      <x:c r="C63" s="1" t="str">
        <x:v>corporate_loans_floating</x:v>
      </x:c>
      <x:c r="D63" s="1" t="str">
        <x:v>TRY</x:v>
      </x:c>
      <x:c r="E63" s="30" t="n">
        <x:v>1594.724418</x:v>
      </x:c>
      <x:c r="F63" s="30" t="n">
        <x:v>1</x:v>
      </x:c>
      <x:c r="G63" s="30" t="n">
        <x:v>1594.724418</x:v>
      </x:c>
      <x:c r="H63" s="1" t="str">
        <x:v>floating</x:v>
      </x:c>
      <x:c r="I63" s="12" t="n">
        <x:v>40.731222</x:v>
      </x:c>
      <x:c r="J63" s="12" t="n">
        <x:v>2.879019</x:v>
      </x:c>
      <x:c r="K63" s="12" t="n">
        <x:v>0.407058</x:v>
      </x:c>
      <x:c r="L63" s="12" t="str">
        <x:v>NONE</x:v>
      </x:c>
      <x:c r="M63" s="12" t="n">
        <x:v>0</x:v>
      </x:c>
      <x:c r="N63" s="12" t="n">
        <x:v>0.85</x:v>
      </x:c>
      <x:c r="O63" s="12" t="n">
        <x:v>90</x:v>
      </x:c>
      <x:c r="P63" s="1" t="n">
        <x:v>0</x:v>
      </x:c>
      <x:c r="Q63" s="1" t="str">
        <x:v>deterministic_synthetic_bank_position</x:v>
      </x:c>
    </x:row>
    <x:row r="64">
      <x:c r="A64" s="1" t="str">
        <x:v>AUR-0060</x:v>
      </x:c>
      <x:c r="B64" s="1" t="str">
        <x:v>asset</x:v>
      </x:c>
      <x:c r="C64" s="1" t="str">
        <x:v>corporate_loans_floating</x:v>
      </x:c>
      <x:c r="D64" s="1" t="str">
        <x:v>TRY</x:v>
      </x:c>
      <x:c r="E64" s="30" t="n">
        <x:v>6518.985716</x:v>
      </x:c>
      <x:c r="F64" s="30" t="n">
        <x:v>1</x:v>
      </x:c>
      <x:c r="G64" s="30" t="n">
        <x:v>6518.985716</x:v>
      </x:c>
      <x:c r="H64" s="1" t="str">
        <x:v>floating</x:v>
      </x:c>
      <x:c r="I64" s="12" t="n">
        <x:v>40.997447</x:v>
      </x:c>
      <x:c r="J64" s="12" t="n">
        <x:v>1.743523</x:v>
      </x:c>
      <x:c r="K64" s="12" t="n">
        <x:v>0.467816</x:v>
      </x:c>
      <x:c r="L64" s="12" t="str">
        <x:v>NONE</x:v>
      </x:c>
      <x:c r="M64" s="12" t="n">
        <x:v>0</x:v>
      </x:c>
      <x:c r="N64" s="12" t="n">
        <x:v>0.85</x:v>
      </x:c>
      <x:c r="O64" s="12" t="n">
        <x:v>90</x:v>
      </x:c>
      <x:c r="P64" s="1" t="n">
        <x:v>0</x:v>
      </x:c>
      <x:c r="Q64" s="1" t="str">
        <x:v>deterministic_synthetic_bank_position</x:v>
      </x:c>
    </x:row>
    <x:row r="65">
      <x:c r="A65" s="1" t="str">
        <x:v>AUR-0061</x:v>
      </x:c>
      <x:c r="B65" s="1" t="str">
        <x:v>asset</x:v>
      </x:c>
      <x:c r="C65" s="1" t="str">
        <x:v>cash_and_reserves</x:v>
      </x:c>
      <x:c r="D65" s="1" t="str">
        <x:v>USD</x:v>
      </x:c>
      <x:c r="E65" s="30" t="n">
        <x:v>8.230963</x:v>
      </x:c>
      <x:c r="F65" s="30" t="n">
        <x:v>47.8467</x:v>
      </x:c>
      <x:c r="G65" s="30" t="n">
        <x:v>393.824406</x:v>
      </x:c>
      <x:c r="H65" s="1" t="str">
        <x:v>overnight</x:v>
      </x:c>
      <x:c r="I65" s="12" t="n">
        <x:v>4.656829</x:v>
      </x:c>
      <x:c r="J65" s="12" t="n">
        <x:v>0.077636</x:v>
      </x:c>
      <x:c r="K65" s="12" t="n">
        <x:v>0.00274</x:v>
      </x:c>
      <x:c r="L65" s="12" t="str">
        <x:v>LEVEL_1</x:v>
      </x:c>
      <x:c r="M65" s="12" t="n">
        <x:v>0</x:v>
      </x:c>
      <x:c r="N65" s="12" t="n">
        <x:v>0</x:v>
      </x:c>
      <x:c r="O65" s="12" t="n">
        <x:v>1</x:v>
      </x:c>
      <x:c r="P65" s="1" t="n">
        <x:v>0</x:v>
      </x:c>
      <x:c r="Q65" s="1" t="str">
        <x:v>deterministic_synthetic_bank_position</x:v>
      </x:c>
    </x:row>
    <x:row r="66">
      <x:c r="A66" s="1" t="str">
        <x:v>AUR-0062</x:v>
      </x:c>
      <x:c r="B66" s="1" t="str">
        <x:v>asset</x:v>
      </x:c>
      <x:c r="C66" s="1" t="str">
        <x:v>cash_and_reserves</x:v>
      </x:c>
      <x:c r="D66" s="1" t="str">
        <x:v>USD</x:v>
      </x:c>
      <x:c r="E66" s="30" t="n">
        <x:v>51.959701</x:v>
      </x:c>
      <x:c r="F66" s="30" t="n">
        <x:v>47.8467</x:v>
      </x:c>
      <x:c r="G66" s="30" t="n">
        <x:v>2486.100245</x:v>
      </x:c>
      <x:c r="H66" s="1" t="str">
        <x:v>overnight</x:v>
      </x:c>
      <x:c r="I66" s="12" t="n">
        <x:v>4.612716</x:v>
      </x:c>
      <x:c r="J66" s="12" t="n">
        <x:v>0.022252</x:v>
      </x:c>
      <x:c r="K66" s="12" t="n">
        <x:v>0.00274</x:v>
      </x:c>
      <x:c r="L66" s="12" t="str">
        <x:v>LEVEL_1</x:v>
      </x:c>
      <x:c r="M66" s="12" t="n">
        <x:v>0</x:v>
      </x:c>
      <x:c r="N66" s="12" t="n">
        <x:v>0</x:v>
      </x:c>
      <x:c r="O66" s="12" t="n">
        <x:v>1</x:v>
      </x:c>
      <x:c r="P66" s="1" t="n">
        <x:v>0</x:v>
      </x:c>
      <x:c r="Q66" s="1" t="str">
        <x:v>deterministic_synthetic_bank_position</x:v>
      </x:c>
    </x:row>
    <x:row r="67">
      <x:c r="A67" s="1" t="str">
        <x:v>AUR-0063</x:v>
      </x:c>
      <x:c r="B67" s="1" t="str">
        <x:v>asset</x:v>
      </x:c>
      <x:c r="C67" s="1" t="str">
        <x:v>cash_and_reserves</x:v>
      </x:c>
      <x:c r="D67" s="1" t="str">
        <x:v>USD</x:v>
      </x:c>
      <x:c r="E67" s="30" t="n">
        <x:v>2.509585</x:v>
      </x:c>
      <x:c r="F67" s="30" t="n">
        <x:v>47.8467</x:v>
      </x:c>
      <x:c r="G67" s="30" t="n">
        <x:v>120.075349</x:v>
      </x:c>
      <x:c r="H67" s="1" t="str">
        <x:v>overnight</x:v>
      </x:c>
      <x:c r="I67" s="12" t="n">
        <x:v>4.020143</x:v>
      </x:c>
      <x:c r="J67" s="12" t="n">
        <x:v>0.042414</x:v>
      </x:c>
      <x:c r="K67" s="12" t="n">
        <x:v>0.00274</x:v>
      </x:c>
      <x:c r="L67" s="12" t="str">
        <x:v>LEVEL_1</x:v>
      </x:c>
      <x:c r="M67" s="12" t="n">
        <x:v>0</x:v>
      </x:c>
      <x:c r="N67" s="12" t="n">
        <x:v>0</x:v>
      </x:c>
      <x:c r="O67" s="12" t="n">
        <x:v>1</x:v>
      </x:c>
      <x:c r="P67" s="1" t="n">
        <x:v>0</x:v>
      </x:c>
      <x:c r="Q67" s="1" t="str">
        <x:v>deterministic_synthetic_bank_position</x:v>
      </x:c>
    </x:row>
    <x:row r="68">
      <x:c r="A68" s="1" t="str">
        <x:v>AUR-0064</x:v>
      </x:c>
      <x:c r="B68" s="1" t="str">
        <x:v>asset</x:v>
      </x:c>
      <x:c r="C68" s="1" t="str">
        <x:v>government_securities</x:v>
      </x:c>
      <x:c r="D68" s="1" t="str">
        <x:v>USD</x:v>
      </x:c>
      <x:c r="E68" s="30" t="n">
        <x:v>19.520951</x:v>
      </x:c>
      <x:c r="F68" s="30" t="n">
        <x:v>47.8467</x:v>
      </x:c>
      <x:c r="G68" s="30" t="n">
        <x:v>934.013064</x:v>
      </x:c>
      <x:c r="H68" s="1" t="str">
        <x:v>fixed</x:v>
      </x:c>
      <x:c r="I68" s="12" t="n">
        <x:v>5.262638</x:v>
      </x:c>
      <x:c r="J68" s="12" t="n">
        <x:v>6.064774</x:v>
      </x:c>
      <x:c r="K68" s="12" t="n">
        <x:v>6.064774</x:v>
      </x:c>
      <x:c r="L68" s="12" t="str">
        <x:v>LEVEL_1</x:v>
      </x:c>
      <x:c r="M68" s="12" t="n">
        <x:v>0</x:v>
      </x:c>
      <x:c r="N68" s="12" t="n">
        <x:v>0.05</x:v>
      </x:c>
      <x:c r="O68" s="12" t="n">
        <x:v>1</x:v>
      </x:c>
      <x:c r="P68" s="1" t="n">
        <x:v>0</x:v>
      </x:c>
      <x:c r="Q68" s="1" t="str">
        <x:v>deterministic_synthetic_bank_position</x:v>
      </x:c>
    </x:row>
    <x:row r="69">
      <x:c r="A69" s="1" t="str">
        <x:v>AUR-0065</x:v>
      </x:c>
      <x:c r="B69" s="1" t="str">
        <x:v>asset</x:v>
      </x:c>
      <x:c r="C69" s="1" t="str">
        <x:v>government_securities</x:v>
      </x:c>
      <x:c r="D69" s="1" t="str">
        <x:v>USD</x:v>
      </x:c>
      <x:c r="E69" s="30" t="n">
        <x:v>30.374243</x:v>
      </x:c>
      <x:c r="F69" s="30" t="n">
        <x:v>47.8467</x:v>
      </x:c>
      <x:c r="G69" s="30" t="n">
        <x:v>1453.307298</x:v>
      </x:c>
      <x:c r="H69" s="1" t="str">
        <x:v>fixed</x:v>
      </x:c>
      <x:c r="I69" s="12" t="n">
        <x:v>4.702544</x:v>
      </x:c>
      <x:c r="J69" s="12" t="n">
        <x:v>1.325049</x:v>
      </x:c>
      <x:c r="K69" s="12" t="n">
        <x:v>1.325049</x:v>
      </x:c>
      <x:c r="L69" s="12" t="str">
        <x:v>LEVEL_1</x:v>
      </x:c>
      <x:c r="M69" s="12" t="n">
        <x:v>0</x:v>
      </x:c>
      <x:c r="N69" s="12" t="n">
        <x:v>0.05</x:v>
      </x:c>
      <x:c r="O69" s="12" t="n">
        <x:v>1</x:v>
      </x:c>
      <x:c r="P69" s="1" t="n">
        <x:v>0</x:v>
      </x:c>
      <x:c r="Q69" s="1" t="str">
        <x:v>deterministic_synthetic_bank_position</x:v>
      </x:c>
    </x:row>
    <x:row r="70">
      <x:c r="A70" s="1" t="str">
        <x:v>AUR-0066</x:v>
      </x:c>
      <x:c r="B70" s="1" t="str">
        <x:v>asset</x:v>
      </x:c>
      <x:c r="C70" s="1" t="str">
        <x:v>government_securities</x:v>
      </x:c>
      <x:c r="D70" s="1" t="str">
        <x:v>USD</x:v>
      </x:c>
      <x:c r="E70" s="30" t="n">
        <x:v>22.349618</x:v>
      </x:c>
      <x:c r="F70" s="30" t="n">
        <x:v>47.8467</x:v>
      </x:c>
      <x:c r="G70" s="30" t="n">
        <x:v>1069.355484</x:v>
      </x:c>
      <x:c r="H70" s="1" t="str">
        <x:v>fixed</x:v>
      </x:c>
      <x:c r="I70" s="12" t="n">
        <x:v>5.072573</x:v>
      </x:c>
      <x:c r="J70" s="12" t="n">
        <x:v>6.828868</x:v>
      </x:c>
      <x:c r="K70" s="12" t="n">
        <x:v>6.828868</x:v>
      </x:c>
      <x:c r="L70" s="12" t="str">
        <x:v>LEVEL_1</x:v>
      </x:c>
      <x:c r="M70" s="12" t="n">
        <x:v>0</x:v>
      </x:c>
      <x:c r="N70" s="12" t="n">
        <x:v>0.05</x:v>
      </x:c>
      <x:c r="O70" s="12" t="n">
        <x:v>1</x:v>
      </x:c>
      <x:c r="P70" s="1" t="n">
        <x:v>0</x:v>
      </x:c>
      <x:c r="Q70" s="1" t="str">
        <x:v>deterministic_synthetic_bank_position</x:v>
      </x:c>
    </x:row>
    <x:row r="71">
      <x:c r="A71" s="1" t="str">
        <x:v>AUR-0067</x:v>
      </x:c>
      <x:c r="B71" s="1" t="str">
        <x:v>asset</x:v>
      </x:c>
      <x:c r="C71" s="1" t="str">
        <x:v>government_securities</x:v>
      </x:c>
      <x:c r="D71" s="1" t="str">
        <x:v>USD</x:v>
      </x:c>
      <x:c r="E71" s="30" t="n">
        <x:v>11.35552</x:v>
      </x:c>
      <x:c r="F71" s="30" t="n">
        <x:v>47.8467</x:v>
      </x:c>
      <x:c r="G71" s="30" t="n">
        <x:v>543.324154</x:v>
      </x:c>
      <x:c r="H71" s="1" t="str">
        <x:v>fixed</x:v>
      </x:c>
      <x:c r="I71" s="12" t="n">
        <x:v>4.911144</x:v>
      </x:c>
      <x:c r="J71" s="12" t="n">
        <x:v>5.10036</x:v>
      </x:c>
      <x:c r="K71" s="12" t="n">
        <x:v>5.10036</x:v>
      </x:c>
      <x:c r="L71" s="12" t="str">
        <x:v>LEVEL_1</x:v>
      </x:c>
      <x:c r="M71" s="12" t="n">
        <x:v>0</x:v>
      </x:c>
      <x:c r="N71" s="12" t="n">
        <x:v>0.05</x:v>
      </x:c>
      <x:c r="O71" s="12" t="n">
        <x:v>1</x:v>
      </x:c>
      <x:c r="P71" s="1" t="n">
        <x:v>0</x:v>
      </x:c>
      <x:c r="Q71" s="1" t="str">
        <x:v>deterministic_synthetic_bank_position</x:v>
      </x:c>
    </x:row>
    <x:row r="72">
      <x:c r="A72" s="1" t="str">
        <x:v>AUR-0068</x:v>
      </x:c>
      <x:c r="B72" s="1" t="str">
        <x:v>asset</x:v>
      </x:c>
      <x:c r="C72" s="1" t="str">
        <x:v>corporate_loans</x:v>
      </x:c>
      <x:c r="D72" s="1" t="str">
        <x:v>USD</x:v>
      </x:c>
      <x:c r="E72" s="30" t="n">
        <x:v>27.106347</x:v>
      </x:c>
      <x:c r="F72" s="30" t="n">
        <x:v>47.8467</x:v>
      </x:c>
      <x:c r="G72" s="30" t="n">
        <x:v>1296.949256</x:v>
      </x:c>
      <x:c r="H72" s="1" t="str">
        <x:v>floating</x:v>
      </x:c>
      <x:c r="I72" s="12" t="n">
        <x:v>7.672198</x:v>
      </x:c>
      <x:c r="J72" s="12" t="n">
        <x:v>3.284556</x:v>
      </x:c>
      <x:c r="K72" s="12" t="n">
        <x:v>0.393651</x:v>
      </x:c>
      <x:c r="L72" s="12" t="str">
        <x:v>NONE</x:v>
      </x:c>
      <x:c r="M72" s="12" t="n">
        <x:v>0</x:v>
      </x:c>
      <x:c r="N72" s="12" t="n">
        <x:v>0.85</x:v>
      </x:c>
      <x:c r="O72" s="12" t="n">
        <x:v>90</x:v>
      </x:c>
      <x:c r="P72" s="1" t="n">
        <x:v>0</x:v>
      </x:c>
      <x:c r="Q72" s="1" t="str">
        <x:v>deterministic_synthetic_bank_position</x:v>
      </x:c>
    </x:row>
    <x:row r="73">
      <x:c r="A73" s="1" t="str">
        <x:v>AUR-0069</x:v>
      </x:c>
      <x:c r="B73" s="1" t="str">
        <x:v>asset</x:v>
      </x:c>
      <x:c r="C73" s="1" t="str">
        <x:v>corporate_loans</x:v>
      </x:c>
      <x:c r="D73" s="1" t="str">
        <x:v>USD</x:v>
      </x:c>
      <x:c r="E73" s="30" t="n">
        <x:v>31.926645</x:v>
      </x:c>
      <x:c r="F73" s="30" t="n">
        <x:v>47.8467</x:v>
      </x:c>
      <x:c r="G73" s="30" t="n">
        <x:v>1527.584596</x:v>
      </x:c>
      <x:c r="H73" s="1" t="str">
        <x:v>floating</x:v>
      </x:c>
      <x:c r="I73" s="12" t="n">
        <x:v>8.887555</x:v>
      </x:c>
      <x:c r="J73" s="12" t="n">
        <x:v>2.831116</x:v>
      </x:c>
      <x:c r="K73" s="12" t="n">
        <x:v>0.48122</x:v>
      </x:c>
      <x:c r="L73" s="12" t="str">
        <x:v>NONE</x:v>
      </x:c>
      <x:c r="M73" s="12" t="n">
        <x:v>0</x:v>
      </x:c>
      <x:c r="N73" s="12" t="n">
        <x:v>0.85</x:v>
      </x:c>
      <x:c r="O73" s="12" t="n">
        <x:v>90</x:v>
      </x:c>
      <x:c r="P73" s="1" t="n">
        <x:v>0</x:v>
      </x:c>
      <x:c r="Q73" s="1" t="str">
        <x:v>deterministic_synthetic_bank_position</x:v>
      </x:c>
    </x:row>
    <x:row r="74">
      <x:c r="A74" s="1" t="str">
        <x:v>AUR-0070</x:v>
      </x:c>
      <x:c r="B74" s="1" t="str">
        <x:v>asset</x:v>
      </x:c>
      <x:c r="C74" s="1" t="str">
        <x:v>corporate_loans</x:v>
      </x:c>
      <x:c r="D74" s="1" t="str">
        <x:v>USD</x:v>
      </x:c>
      <x:c r="E74" s="30" t="n">
        <x:v>55.547433</x:v>
      </x:c>
      <x:c r="F74" s="30" t="n">
        <x:v>47.8467</x:v>
      </x:c>
      <x:c r="G74" s="30" t="n">
        <x:v>2657.761382</x:v>
      </x:c>
      <x:c r="H74" s="1" t="str">
        <x:v>floating</x:v>
      </x:c>
      <x:c r="I74" s="12" t="n">
        <x:v>8.159464</x:v>
      </x:c>
      <x:c r="J74" s="12" t="n">
        <x:v>3.132234</x:v>
      </x:c>
      <x:c r="K74" s="12" t="n">
        <x:v>0.483551</x:v>
      </x:c>
      <x:c r="L74" s="12" t="str">
        <x:v>NONE</x:v>
      </x:c>
      <x:c r="M74" s="12" t="n">
        <x:v>0</x:v>
      </x:c>
      <x:c r="N74" s="12" t="n">
        <x:v>0.85</x:v>
      </x:c>
      <x:c r="O74" s="12" t="n">
        <x:v>90</x:v>
      </x:c>
      <x:c r="P74" s="1" t="n">
        <x:v>0</x:v>
      </x:c>
      <x:c r="Q74" s="1" t="str">
        <x:v>deterministic_synthetic_bank_position</x:v>
      </x:c>
    </x:row>
    <x:row r="75">
      <x:c r="A75" s="1" t="str">
        <x:v>AUR-0071</x:v>
      </x:c>
      <x:c r="B75" s="1" t="str">
        <x:v>asset</x:v>
      </x:c>
      <x:c r="C75" s="1" t="str">
        <x:v>corporate_loans</x:v>
      </x:c>
      <x:c r="D75" s="1" t="str">
        <x:v>USD</x:v>
      </x:c>
      <x:c r="E75" s="30" t="n">
        <x:v>42.8059</x:v>
      </x:c>
      <x:c r="F75" s="30" t="n">
        <x:v>47.8467</x:v>
      </x:c>
      <x:c r="G75" s="30" t="n">
        <x:v>2048.12107</x:v>
      </x:c>
      <x:c r="H75" s="1" t="str">
        <x:v>floating</x:v>
      </x:c>
      <x:c r="I75" s="12" t="n">
        <x:v>8.913886</x:v>
      </x:c>
      <x:c r="J75" s="12" t="n">
        <x:v>2.19428</x:v>
      </x:c>
      <x:c r="K75" s="12" t="n">
        <x:v>0.31912</x:v>
      </x:c>
      <x:c r="L75" s="12" t="str">
        <x:v>NONE</x:v>
      </x:c>
      <x:c r="M75" s="12" t="n">
        <x:v>0</x:v>
      </x:c>
      <x:c r="N75" s="12" t="n">
        <x:v>0.85</x:v>
      </x:c>
      <x:c r="O75" s="12" t="n">
        <x:v>90</x:v>
      </x:c>
      <x:c r="P75" s="1" t="n">
        <x:v>0</x:v>
      </x:c>
      <x:c r="Q75" s="1" t="str">
        <x:v>deterministic_synthetic_bank_position</x:v>
      </x:c>
    </x:row>
    <x:row r="76">
      <x:c r="A76" s="1" t="str">
        <x:v>AUR-0072</x:v>
      </x:c>
      <x:c r="B76" s="1" t="str">
        <x:v>asset</x:v>
      </x:c>
      <x:c r="C76" s="1" t="str">
        <x:v>corporate_loans</x:v>
      </x:c>
      <x:c r="D76" s="1" t="str">
        <x:v>USD</x:v>
      </x:c>
      <x:c r="E76" s="30" t="n">
        <x:v>43.316379</x:v>
      </x:c>
      <x:c r="F76" s="30" t="n">
        <x:v>47.8467</x:v>
      </x:c>
      <x:c r="G76" s="30" t="n">
        <x:v>2072.545771</x:v>
      </x:c>
      <x:c r="H76" s="1" t="str">
        <x:v>floating</x:v>
      </x:c>
      <x:c r="I76" s="12" t="n">
        <x:v>8.653174</x:v>
      </x:c>
      <x:c r="J76" s="12" t="n">
        <x:v>0.577103</x:v>
      </x:c>
      <x:c r="K76" s="12" t="n">
        <x:v>0.275374</x:v>
      </x:c>
      <x:c r="L76" s="12" t="str">
        <x:v>NONE</x:v>
      </x:c>
      <x:c r="M76" s="12" t="n">
        <x:v>0</x:v>
      </x:c>
      <x:c r="N76" s="12" t="n">
        <x:v>0.85</x:v>
      </x:c>
      <x:c r="O76" s="12" t="n">
        <x:v>90</x:v>
      </x:c>
      <x:c r="P76" s="1" t="n">
        <x:v>0</x:v>
      </x:c>
      <x:c r="Q76" s="1" t="str">
        <x:v>deterministic_synthetic_bank_position</x:v>
      </x:c>
    </x:row>
    <x:row r="77">
      <x:c r="A77" s="1" t="str">
        <x:v>AUR-0073</x:v>
      </x:c>
      <x:c r="B77" s="1" t="str">
        <x:v>asset</x:v>
      </x:c>
      <x:c r="C77" s="1" t="str">
        <x:v>corporate_loans</x:v>
      </x:c>
      <x:c r="D77" s="1" t="str">
        <x:v>USD</x:v>
      </x:c>
      <x:c r="E77" s="30" t="n">
        <x:v>29.198209</x:v>
      </x:c>
      <x:c r="F77" s="30" t="n">
        <x:v>47.8467</x:v>
      </x:c>
      <x:c r="G77" s="30" t="n">
        <x:v>1397.037925</x:v>
      </x:c>
      <x:c r="H77" s="1" t="str">
        <x:v>floating</x:v>
      </x:c>
      <x:c r="I77" s="12" t="n">
        <x:v>8.731145</x:v>
      </x:c>
      <x:c r="J77" s="12" t="n">
        <x:v>3.132652</x:v>
      </x:c>
      <x:c r="K77" s="12" t="n">
        <x:v>0.36784</x:v>
      </x:c>
      <x:c r="L77" s="12" t="str">
        <x:v>NONE</x:v>
      </x:c>
      <x:c r="M77" s="12" t="n">
        <x:v>0</x:v>
      </x:c>
      <x:c r="N77" s="12" t="n">
        <x:v>0.85</x:v>
      </x:c>
      <x:c r="O77" s="12" t="n">
        <x:v>90</x:v>
      </x:c>
      <x:c r="P77" s="1" t="n">
        <x:v>0</x:v>
      </x:c>
      <x:c r="Q77" s="1" t="str">
        <x:v>deterministic_synthetic_bank_position</x:v>
      </x:c>
    </x:row>
    <x:row r="78">
      <x:c r="A78" s="1" t="str">
        <x:v>AUR-0074</x:v>
      </x:c>
      <x:c r="B78" s="1" t="str">
        <x:v>asset</x:v>
      </x:c>
      <x:c r="C78" s="1" t="str">
        <x:v>cash_and_reserves</x:v>
      </x:c>
      <x:c r="D78" s="1" t="str">
        <x:v>EUR</x:v>
      </x:c>
      <x:c r="E78" s="30" t="n">
        <x:v>11.298781</x:v>
      </x:c>
      <x:c r="F78" s="30" t="n">
        <x:v>55.5061</x:v>
      </x:c>
      <x:c r="G78" s="30" t="n">
        <x:v>627.151242</x:v>
      </x:c>
      <x:c r="H78" s="1" t="str">
        <x:v>overnight</x:v>
      </x:c>
      <x:c r="I78" s="12" t="n">
        <x:v>2.40666</x:v>
      </x:c>
      <x:c r="J78" s="12" t="n">
        <x:v>0.072987</x:v>
      </x:c>
      <x:c r="K78" s="12" t="n">
        <x:v>0.00274</x:v>
      </x:c>
      <x:c r="L78" s="12" t="str">
        <x:v>LEVEL_1</x:v>
      </x:c>
      <x:c r="M78" s="12" t="n">
        <x:v>0</x:v>
      </x:c>
      <x:c r="N78" s="12" t="n">
        <x:v>0</x:v>
      </x:c>
      <x:c r="O78" s="12" t="n">
        <x:v>1</x:v>
      </x:c>
      <x:c r="P78" s="1" t="n">
        <x:v>0</x:v>
      </x:c>
      <x:c r="Q78" s="1" t="str">
        <x:v>deterministic_synthetic_bank_position</x:v>
      </x:c>
    </x:row>
    <x:row r="79">
      <x:c r="A79" s="1" t="str">
        <x:v>AUR-0075</x:v>
      </x:c>
      <x:c r="B79" s="1" t="str">
        <x:v>asset</x:v>
      </x:c>
      <x:c r="C79" s="1" t="str">
        <x:v>cash_and_reserves</x:v>
      </x:c>
      <x:c r="D79" s="1" t="str">
        <x:v>EUR</x:v>
      </x:c>
      <x:c r="E79" s="30" t="n">
        <x:v>15.611536</x:v>
      </x:c>
      <x:c r="F79" s="30" t="n">
        <x:v>55.5061</x:v>
      </x:c>
      <x:c r="G79" s="30" t="n">
        <x:v>866.535489</x:v>
      </x:c>
      <x:c r="H79" s="1" t="str">
        <x:v>overnight</x:v>
      </x:c>
      <x:c r="I79" s="12" t="n">
        <x:v>2.577509</x:v>
      </x:c>
      <x:c r="J79" s="12" t="n">
        <x:v>0.078229</x:v>
      </x:c>
      <x:c r="K79" s="12" t="n">
        <x:v>0.00274</x:v>
      </x:c>
      <x:c r="L79" s="12" t="str">
        <x:v>LEVEL_1</x:v>
      </x:c>
      <x:c r="M79" s="12" t="n">
        <x:v>0</x:v>
      </x:c>
      <x:c r="N79" s="12" t="n">
        <x:v>0</x:v>
      </x:c>
      <x:c r="O79" s="12" t="n">
        <x:v>1</x:v>
      </x:c>
      <x:c r="P79" s="1" t="n">
        <x:v>0</x:v>
      </x:c>
      <x:c r="Q79" s="1" t="str">
        <x:v>deterministic_synthetic_bank_position</x:v>
      </x:c>
    </x:row>
    <x:row r="80">
      <x:c r="A80" s="1" t="str">
        <x:v>AUR-0076</x:v>
      </x:c>
      <x:c r="B80" s="1" t="str">
        <x:v>asset</x:v>
      </x:c>
      <x:c r="C80" s="1" t="str">
        <x:v>cash_and_reserves</x:v>
      </x:c>
      <x:c r="D80" s="1" t="str">
        <x:v>EUR</x:v>
      </x:c>
      <x:c r="E80" s="30" t="n">
        <x:v>9.121759</x:v>
      </x:c>
      <x:c r="F80" s="30" t="n">
        <x:v>55.5061</x:v>
      </x:c>
      <x:c r="G80" s="30" t="n">
        <x:v>506.313269</x:v>
      </x:c>
      <x:c r="H80" s="1" t="str">
        <x:v>overnight</x:v>
      </x:c>
      <x:c r="I80" s="12" t="n">
        <x:v>2.25767</x:v>
      </x:c>
      <x:c r="J80" s="12" t="n">
        <x:v>0.059769</x:v>
      </x:c>
      <x:c r="K80" s="12" t="n">
        <x:v>0.00274</x:v>
      </x:c>
      <x:c r="L80" s="12" t="str">
        <x:v>LEVEL_1</x:v>
      </x:c>
      <x:c r="M80" s="12" t="n">
        <x:v>0</x:v>
      </x:c>
      <x:c r="N80" s="12" t="n">
        <x:v>0</x:v>
      </x:c>
      <x:c r="O80" s="12" t="n">
        <x:v>1</x:v>
      </x:c>
      <x:c r="P80" s="1" t="n">
        <x:v>0</x:v>
      </x:c>
      <x:c r="Q80" s="1" t="str">
        <x:v>deterministic_synthetic_bank_position</x:v>
      </x:c>
    </x:row>
    <x:row r="81">
      <x:c r="A81" s="29" t="str">
        <x:v>AUR-0077</x:v>
      </x:c>
      <x:c r="B81" s="29" t="str">
        <x:v>asset</x:v>
      </x:c>
      <x:c r="C81" s="29" t="str">
        <x:v>government_securities</x:v>
      </x:c>
      <x:c r="D81" s="29" t="str">
        <x:v>EUR</x:v>
      </x:c>
      <x:c r="E81" s="31" t="n">
        <x:v>20.626181</x:v>
      </x:c>
      <x:c r="F81" s="31" t="n">
        <x:v>55.5061</x:v>
      </x:c>
      <x:c r="G81" s="31" t="n">
        <x:v>1144.878887</x:v>
      </x:c>
      <x:c r="H81" s="29" t="str">
        <x:v>fixed</x:v>
      </x:c>
      <x:c r="I81" s="32" t="n">
        <x:v>4.239371</x:v>
      </x:c>
      <x:c r="J81" s="32" t="n">
        <x:v>6.918647</x:v>
      </x:c>
      <x:c r="K81" s="32" t="n">
        <x:v>6.918647</x:v>
      </x:c>
      <x:c r="L81" s="32" t="str">
        <x:v>LEVEL_1</x:v>
      </x:c>
      <x:c r="M81" s="32" t="n">
        <x:v>0</x:v>
      </x:c>
      <x:c r="N81" s="32" t="n">
        <x:v>0.05</x:v>
      </x:c>
      <x:c r="O81" s="32" t="n">
        <x:v>1</x:v>
      </x:c>
      <x:c r="P81" s="29" t="n">
        <x:v>0</x:v>
      </x:c>
      <x:c r="Q81" s="29" t="str">
        <x:v>deterministic_synthetic_bank_position</x:v>
      </x:c>
    </x:row>
    <x:row r="82">
      <x:c r="A82" s="29" t="str">
        <x:v>AUR-0078</x:v>
      </x:c>
      <x:c r="B82" s="29" t="str">
        <x:v>asset</x:v>
      </x:c>
      <x:c r="C82" s="29" t="str">
        <x:v>government_securities</x:v>
      </x:c>
      <x:c r="D82" s="29" t="str">
        <x:v>EUR</x:v>
      </x:c>
      <x:c r="E82" s="31" t="n">
        <x:v>15.118474</x:v>
      </x:c>
      <x:c r="F82" s="31" t="n">
        <x:v>55.5061</x:v>
      </x:c>
      <x:c r="G82" s="31" t="n">
        <x:v>839.167517</x:v>
      </x:c>
      <x:c r="H82" s="29" t="str">
        <x:v>fixed</x:v>
      </x:c>
      <x:c r="I82" s="32" t="n">
        <x:v>3.458117</x:v>
      </x:c>
      <x:c r="J82" s="32" t="n">
        <x:v>6.219259</x:v>
      </x:c>
      <x:c r="K82" s="32" t="n">
        <x:v>6.219259</x:v>
      </x:c>
      <x:c r="L82" s="32" t="str">
        <x:v>LEVEL_1</x:v>
      </x:c>
      <x:c r="M82" s="32" t="n">
        <x:v>0</x:v>
      </x:c>
      <x:c r="N82" s="32" t="n">
        <x:v>0.05</x:v>
      </x:c>
      <x:c r="O82" s="32" t="n">
        <x:v>1</x:v>
      </x:c>
      <x:c r="P82" s="29" t="n">
        <x:v>0</x:v>
      </x:c>
      <x:c r="Q82" s="29" t="str">
        <x:v>deterministic_synthetic_bank_position</x:v>
      </x:c>
    </x:row>
    <x:row r="83">
      <x:c r="A83" s="29" t="str">
        <x:v>AUR-0079</x:v>
      </x:c>
      <x:c r="B83" s="29" t="str">
        <x:v>asset</x:v>
      </x:c>
      <x:c r="C83" s="29" t="str">
        <x:v>government_securities</x:v>
      </x:c>
      <x:c r="D83" s="29" t="str">
        <x:v>EUR</x:v>
      </x:c>
      <x:c r="E83" s="31" t="n">
        <x:v>2.918723</x:v>
      </x:c>
      <x:c r="F83" s="31" t="n">
        <x:v>55.5061</x:v>
      </x:c>
      <x:c r="G83" s="31" t="n">
        <x:v>162.00693</x:v>
      </x:c>
      <x:c r="H83" s="29" t="str">
        <x:v>fixed</x:v>
      </x:c>
      <x:c r="I83" s="32" t="n">
        <x:v>3.690014</x:v>
      </x:c>
      <x:c r="J83" s="32" t="n">
        <x:v>2.908558</x:v>
      </x:c>
      <x:c r="K83" s="32" t="n">
        <x:v>2.908558</x:v>
      </x:c>
      <x:c r="L83" s="32" t="str">
        <x:v>LEVEL_1</x:v>
      </x:c>
      <x:c r="M83" s="32" t="n">
        <x:v>0</x:v>
      </x:c>
      <x:c r="N83" s="32" t="n">
        <x:v>0.05</x:v>
      </x:c>
      <x:c r="O83" s="32" t="n">
        <x:v>1</x:v>
      </x:c>
      <x:c r="P83" s="29" t="n">
        <x:v>0</x:v>
      </x:c>
      <x:c r="Q83" s="29" t="str">
        <x:v>deterministic_synthetic_bank_position</x:v>
      </x:c>
    </x:row>
    <x:row r="84">
      <x:c r="A84" s="29" t="str">
        <x:v>AUR-0080</x:v>
      </x:c>
      <x:c r="B84" s="29" t="str">
        <x:v>asset</x:v>
      </x:c>
      <x:c r="C84" s="29" t="str">
        <x:v>government_securities</x:v>
      </x:c>
      <x:c r="D84" s="29" t="str">
        <x:v>EUR</x:v>
      </x:c>
      <x:c r="E84" s="31" t="n">
        <x:v>15.384735</x:v>
      </x:c>
      <x:c r="F84" s="31" t="n">
        <x:v>55.5061</x:v>
      </x:c>
      <x:c r="G84" s="31" t="n">
        <x:v>853.946666</x:v>
      </x:c>
      <x:c r="H84" s="29" t="str">
        <x:v>fixed</x:v>
      </x:c>
      <x:c r="I84" s="32" t="n">
        <x:v>3.679406</x:v>
      </x:c>
      <x:c r="J84" s="32" t="n">
        <x:v>3.102259</x:v>
      </x:c>
      <x:c r="K84" s="32" t="n">
        <x:v>3.102259</x:v>
      </x:c>
      <x:c r="L84" s="32" t="str">
        <x:v>LEVEL_1</x:v>
      </x:c>
      <x:c r="M84" s="32" t="n">
        <x:v>0</x:v>
      </x:c>
      <x:c r="N84" s="32" t="n">
        <x:v>0.05</x:v>
      </x:c>
      <x:c r="O84" s="32" t="n">
        <x:v>1</x:v>
      </x:c>
      <x:c r="P84" s="29" t="n">
        <x:v>0</x:v>
      </x:c>
      <x:c r="Q84" s="29" t="str">
        <x:v>deterministic_synthetic_bank_position</x:v>
      </x:c>
    </x:row>
    <x:row r="85">
      <x:c r="A85" s="29" t="str">
        <x:v>AUR-0081</x:v>
      </x:c>
      <x:c r="B85" s="29" t="str">
        <x:v>asset</x:v>
      </x:c>
      <x:c r="C85" s="29" t="str">
        <x:v>corporate_loans</x:v>
      </x:c>
      <x:c r="D85" s="29" t="str">
        <x:v>EUR</x:v>
      </x:c>
      <x:c r="E85" s="31" t="n">
        <x:v>20.007689</x:v>
      </x:c>
      <x:c r="F85" s="31" t="n">
        <x:v>55.5061</x:v>
      </x:c>
      <x:c r="G85" s="31" t="n">
        <x:v>1110.548767</x:v>
      </x:c>
      <x:c r="H85" s="29" t="str">
        <x:v>floating</x:v>
      </x:c>
      <x:c r="I85" s="32" t="n">
        <x:v>7.229974</x:v>
      </x:c>
      <x:c r="J85" s="32" t="n">
        <x:v>1.930082</x:v>
      </x:c>
      <x:c r="K85" s="32" t="n">
        <x:v>0.498532</x:v>
      </x:c>
      <x:c r="L85" s="32" t="str">
        <x:v>NONE</x:v>
      </x:c>
      <x:c r="M85" s="32" t="n">
        <x:v>0</x:v>
      </x:c>
      <x:c r="N85" s="32" t="n">
        <x:v>0.85</x:v>
      </x:c>
      <x:c r="O85" s="32" t="n">
        <x:v>90</x:v>
      </x:c>
      <x:c r="P85" s="29" t="n">
        <x:v>0</x:v>
      </x:c>
      <x:c r="Q85" s="29" t="str">
        <x:v>deterministic_synthetic_bank_position</x:v>
      </x:c>
    </x:row>
    <x:row r="86">
      <x:c r="A86" s="29" t="str">
        <x:v>AUR-0082</x:v>
      </x:c>
      <x:c r="B86" s="29" t="str">
        <x:v>asset</x:v>
      </x:c>
      <x:c r="C86" s="29" t="str">
        <x:v>corporate_loans</x:v>
      </x:c>
      <x:c r="D86" s="29" t="str">
        <x:v>EUR</x:v>
      </x:c>
      <x:c r="E86" s="31" t="n">
        <x:v>21.990622</x:v>
      </x:c>
      <x:c r="F86" s="31" t="n">
        <x:v>55.5061</x:v>
      </x:c>
      <x:c r="G86" s="31" t="n">
        <x:v>1220.613688</x:v>
      </x:c>
      <x:c r="H86" s="29" t="str">
        <x:v>floating</x:v>
      </x:c>
      <x:c r="I86" s="32" t="n">
        <x:v>7.035946</x:v>
      </x:c>
      <x:c r="J86" s="32" t="n">
        <x:v>1.813244</x:v>
      </x:c>
      <x:c r="K86" s="32" t="n">
        <x:v>0.249911</x:v>
      </x:c>
      <x:c r="L86" s="32" t="str">
        <x:v>NONE</x:v>
      </x:c>
      <x:c r="M86" s="32" t="n">
        <x:v>0</x:v>
      </x:c>
      <x:c r="N86" s="32" t="n">
        <x:v>0.85</x:v>
      </x:c>
      <x:c r="O86" s="32" t="n">
        <x:v>90</x:v>
      </x:c>
      <x:c r="P86" s="29" t="n">
        <x:v>0</x:v>
      </x:c>
      <x:c r="Q86" s="29" t="str">
        <x:v>deterministic_synthetic_bank_position</x:v>
      </x:c>
    </x:row>
    <x:row r="87">
      <x:c r="A87" s="29" t="str">
        <x:v>AUR-0083</x:v>
      </x:c>
      <x:c r="B87" s="29" t="str">
        <x:v>asset</x:v>
      </x:c>
      <x:c r="C87" s="29" t="str">
        <x:v>corporate_loans</x:v>
      </x:c>
      <x:c r="D87" s="29" t="str">
        <x:v>EUR</x:v>
      </x:c>
      <x:c r="E87" s="31" t="n">
        <x:v>64.759447</x:v>
      </x:c>
      <x:c r="F87" s="31" t="n">
        <x:v>55.5061</x:v>
      </x:c>
      <x:c r="G87" s="31" t="n">
        <x:v>3594.544328</x:v>
      </x:c>
      <x:c r="H87" s="29" t="str">
        <x:v>floating</x:v>
      </x:c>
      <x:c r="I87" s="32" t="n">
        <x:v>6.99353</x:v>
      </x:c>
      <x:c r="J87" s="32" t="n">
        <x:v>0.735318</x:v>
      </x:c>
      <x:c r="K87" s="32" t="n">
        <x:v>0.29743</x:v>
      </x:c>
      <x:c r="L87" s="32" t="str">
        <x:v>NONE</x:v>
      </x:c>
      <x:c r="M87" s="32" t="n">
        <x:v>0</x:v>
      </x:c>
      <x:c r="N87" s="32" t="n">
        <x:v>0.85</x:v>
      </x:c>
      <x:c r="O87" s="32" t="n">
        <x:v>90</x:v>
      </x:c>
      <x:c r="P87" s="29" t="n">
        <x:v>0</x:v>
      </x:c>
      <x:c r="Q87" s="29" t="str">
        <x:v>deterministic_synthetic_bank_position</x:v>
      </x:c>
    </x:row>
    <x:row r="88">
      <x:c r="A88" s="29" t="str">
        <x:v>AUR-0084</x:v>
      </x:c>
      <x:c r="B88" s="29" t="str">
        <x:v>asset</x:v>
      </x:c>
      <x:c r="C88" s="29" t="str">
        <x:v>corporate_loans</x:v>
      </x:c>
      <x:c r="D88" s="29" t="str">
        <x:v>EUR</x:v>
      </x:c>
      <x:c r="E88" s="31" t="n">
        <x:v>6.517156</x:v>
      </x:c>
      <x:c r="F88" s="31" t="n">
        <x:v>55.5061</x:v>
      </x:c>
      <x:c r="G88" s="31" t="n">
        <x:v>361.741907</x:v>
      </x:c>
      <x:c r="H88" s="29" t="str">
        <x:v>floating</x:v>
      </x:c>
      <x:c r="I88" s="32" t="n">
        <x:v>7.568042</x:v>
      </x:c>
      <x:c r="J88" s="32" t="n">
        <x:v>1.764741</x:v>
      </x:c>
      <x:c r="K88" s="32" t="n">
        <x:v>0.369917</x:v>
      </x:c>
      <x:c r="L88" s="32" t="str">
        <x:v>NONE</x:v>
      </x:c>
      <x:c r="M88" s="32" t="n">
        <x:v>0</x:v>
      </x:c>
      <x:c r="N88" s="32" t="n">
        <x:v>0.85</x:v>
      </x:c>
      <x:c r="O88" s="32" t="n">
        <x:v>90</x:v>
      </x:c>
      <x:c r="P88" s="29" t="n">
        <x:v>0</x:v>
      </x:c>
      <x:c r="Q88" s="29" t="str">
        <x:v>deterministic_synthetic_bank_position</x:v>
      </x:c>
    </x:row>
    <x:row r="89">
      <x:c r="A89" s="29" t="str">
        <x:v>AUR-0085</x:v>
      </x:c>
      <x:c r="B89" s="29" t="str">
        <x:v>asset</x:v>
      </x:c>
      <x:c r="C89" s="29" t="str">
        <x:v>corporate_loans</x:v>
      </x:c>
      <x:c r="D89" s="29" t="str">
        <x:v>EUR</x:v>
      </x:c>
      <x:c r="E89" s="31" t="n">
        <x:v>12.837351</x:v>
      </x:c>
      <x:c r="F89" s="31" t="n">
        <x:v>55.5061</x:v>
      </x:c>
      <x:c r="G89" s="31" t="n">
        <x:v>712.55131</x:v>
      </x:c>
      <x:c r="H89" s="29" t="str">
        <x:v>floating</x:v>
      </x:c>
      <x:c r="I89" s="32" t="n">
        <x:v>6.97015</x:v>
      </x:c>
      <x:c r="J89" s="32" t="n">
        <x:v>1.738245</x:v>
      </x:c>
      <x:c r="K89" s="32" t="n">
        <x:v>0.097923</x:v>
      </x:c>
      <x:c r="L89" s="32" t="str">
        <x:v>NONE</x:v>
      </x:c>
      <x:c r="M89" s="32" t="n">
        <x:v>0</x:v>
      </x:c>
      <x:c r="N89" s="32" t="n">
        <x:v>0.85</x:v>
      </x:c>
      <x:c r="O89" s="32" t="n">
        <x:v>90</x:v>
      </x:c>
      <x:c r="P89" s="29" t="n">
        <x:v>0</x:v>
      </x:c>
      <x:c r="Q89" s="29" t="str">
        <x:v>deterministic_synthetic_bank_position</x:v>
      </x:c>
    </x:row>
    <x:row r="90">
      <x:c r="A90" s="29" t="str">
        <x:v>AUR-0086</x:v>
      </x:c>
      <x:c r="B90" s="29" t="str">
        <x:v>liability</x:v>
      </x:c>
      <x:c r="C90" s="29" t="str">
        <x:v>demand_deposits</x:v>
      </x:c>
      <x:c r="D90" s="29" t="str">
        <x:v>TRY</x:v>
      </x:c>
      <x:c r="E90" s="31" t="n">
        <x:v>5187.051663</x:v>
      </x:c>
      <x:c r="F90" s="31" t="n">
        <x:v>1</x:v>
      </x:c>
      <x:c r="G90" s="31" t="n">
        <x:v>5187.051663</x:v>
      </x:c>
      <x:c r="H90" s="29" t="str">
        <x:v>non_maturity</x:v>
      </x:c>
      <x:c r="I90" s="32" t="n">
        <x:v>18.21127</x:v>
      </x:c>
      <x:c r="J90" s="32" t="n">
        <x:v>3.282704</x:v>
      </x:c>
      <x:c r="K90" s="32" t="n">
        <x:v>0.374173</x:v>
      </x:c>
      <x:c r="L90" s="32" t="str">
        <x:v>NONE</x:v>
      </x:c>
      <x:c r="M90" s="32" t="n">
        <x:v>0.9</x:v>
      </x:c>
      <x:c r="N90" s="32" t="n">
        <x:v>0</x:v>
      </x:c>
      <x:c r="O90" s="32" t="n">
        <x:v>1</x:v>
      </x:c>
      <x:c r="P90" s="29" t="n">
        <x:v>0.42</x:v>
      </x:c>
      <x:c r="Q90" s="29" t="str">
        <x:v>deterministic_synthetic_bank_position</x:v>
      </x:c>
    </x:row>
    <x:row r="91">
      <x:c r="A91" s="29" t="str">
        <x:v>AUR-0087</x:v>
      </x:c>
      <x:c r="B91" s="29" t="str">
        <x:v>liability</x:v>
      </x:c>
      <x:c r="C91" s="29" t="str">
        <x:v>demand_deposits</x:v>
      </x:c>
      <x:c r="D91" s="29" t="str">
        <x:v>TRY</x:v>
      </x:c>
      <x:c r="E91" s="31" t="n">
        <x:v>3950.473954</x:v>
      </x:c>
      <x:c r="F91" s="31" t="n">
        <x:v>1</x:v>
      </x:c>
      <x:c r="G91" s="31" t="n">
        <x:v>3950.473954</x:v>
      </x:c>
      <x:c r="H91" s="29" t="str">
        <x:v>non_maturity</x:v>
      </x:c>
      <x:c r="I91" s="32" t="n">
        <x:v>18.271725</x:v>
      </x:c>
      <x:c r="J91" s="32" t="n">
        <x:v>4.163065</x:v>
      </x:c>
      <x:c r="K91" s="32" t="n">
        <x:v>0.208395</x:v>
      </x:c>
      <x:c r="L91" s="32" t="str">
        <x:v>NONE</x:v>
      </x:c>
      <x:c r="M91" s="32" t="n">
        <x:v>0.9</x:v>
      </x:c>
      <x:c r="N91" s="32" t="n">
        <x:v>0</x:v>
      </x:c>
      <x:c r="O91" s="32" t="n">
        <x:v>1</x:v>
      </x:c>
      <x:c r="P91" s="29" t="n">
        <x:v>0.42</x:v>
      </x:c>
      <x:c r="Q91" s="29" t="str">
        <x:v>deterministic_synthetic_bank_position</x:v>
      </x:c>
    </x:row>
    <x:row r="92">
      <x:c r="A92" s="29" t="str">
        <x:v>AUR-0088</x:v>
      </x:c>
      <x:c r="B92" s="29" t="str">
        <x:v>liability</x:v>
      </x:c>
      <x:c r="C92" s="29" t="str">
        <x:v>demand_deposits</x:v>
      </x:c>
      <x:c r="D92" s="29" t="str">
        <x:v>TRY</x:v>
      </x:c>
      <x:c r="E92" s="31" t="n">
        <x:v>6357.318781</x:v>
      </x:c>
      <x:c r="F92" s="31" t="n">
        <x:v>1</x:v>
      </x:c>
      <x:c r="G92" s="31" t="n">
        <x:v>6357.318781</x:v>
      </x:c>
      <x:c r="H92" s="29" t="str">
        <x:v>non_maturity</x:v>
      </x:c>
      <x:c r="I92" s="32" t="n">
        <x:v>18.375955</x:v>
      </x:c>
      <x:c r="J92" s="32" t="n">
        <x:v>3.803026</x:v>
      </x:c>
      <x:c r="K92" s="32" t="n">
        <x:v>0.657536</x:v>
      </x:c>
      <x:c r="L92" s="32" t="str">
        <x:v>NONE</x:v>
      </x:c>
      <x:c r="M92" s="32" t="n">
        <x:v>0.9</x:v>
      </x:c>
      <x:c r="N92" s="32" t="n">
        <x:v>0</x:v>
      </x:c>
      <x:c r="O92" s="32" t="n">
        <x:v>1</x:v>
      </x:c>
      <x:c r="P92" s="29" t="n">
        <x:v>0.42</x:v>
      </x:c>
      <x:c r="Q92" s="29" t="str">
        <x:v>deterministic_synthetic_bank_position</x:v>
      </x:c>
    </x:row>
    <x:row r="93">
      <x:c r="A93" s="29" t="str">
        <x:v>AUR-0089</x:v>
      </x:c>
      <x:c r="B93" s="29" t="str">
        <x:v>liability</x:v>
      </x:c>
      <x:c r="C93" s="29" t="str">
        <x:v>demand_deposits</x:v>
      </x:c>
      <x:c r="D93" s="29" t="str">
        <x:v>TRY</x:v>
      </x:c>
      <x:c r="E93" s="31" t="n">
        <x:v>906.552056</x:v>
      </x:c>
      <x:c r="F93" s="31" t="n">
        <x:v>1</x:v>
      </x:c>
      <x:c r="G93" s="31" t="n">
        <x:v>906.552056</x:v>
      </x:c>
      <x:c r="H93" s="29" t="str">
        <x:v>non_maturity</x:v>
      </x:c>
      <x:c r="I93" s="32" t="n">
        <x:v>17.799801</x:v>
      </x:c>
      <x:c r="J93" s="32" t="n">
        <x:v>2.465651</x:v>
      </x:c>
      <x:c r="K93" s="32" t="n">
        <x:v>0.406497</x:v>
      </x:c>
      <x:c r="L93" s="32" t="str">
        <x:v>NONE</x:v>
      </x:c>
      <x:c r="M93" s="32" t="n">
        <x:v>0.9</x:v>
      </x:c>
      <x:c r="N93" s="32" t="n">
        <x:v>0</x:v>
      </x:c>
      <x:c r="O93" s="32" t="n">
        <x:v>1</x:v>
      </x:c>
      <x:c r="P93" s="29" t="n">
        <x:v>0.42</x:v>
      </x:c>
      <x:c r="Q93" s="29" t="str">
        <x:v>deterministic_synthetic_bank_position</x:v>
      </x:c>
    </x:row>
    <x:row r="94">
      <x:c r="A94" s="29" t="str">
        <x:v>AUR-0090</x:v>
      </x:c>
      <x:c r="B94" s="29" t="str">
        <x:v>liability</x:v>
      </x:c>
      <x:c r="C94" s="29" t="str">
        <x:v>demand_deposits</x:v>
      </x:c>
      <x:c r="D94" s="29" t="str">
        <x:v>TRY</x:v>
      </x:c>
      <x:c r="E94" s="31" t="n">
        <x:v>5550.78943</x:v>
      </x:c>
      <x:c r="F94" s="31" t="n">
        <x:v>1</x:v>
      </x:c>
      <x:c r="G94" s="31" t="n">
        <x:v>5550.78943</x:v>
      </x:c>
      <x:c r="H94" s="29" t="str">
        <x:v>non_maturity</x:v>
      </x:c>
      <x:c r="I94" s="32" t="n">
        <x:v>17.86695</x:v>
      </x:c>
      <x:c r="J94" s="32" t="n">
        <x:v>3.422748</x:v>
      </x:c>
      <x:c r="K94" s="32" t="n">
        <x:v>0.281389</x:v>
      </x:c>
      <x:c r="L94" s="32" t="str">
        <x:v>NONE</x:v>
      </x:c>
      <x:c r="M94" s="32" t="n">
        <x:v>0.9</x:v>
      </x:c>
      <x:c r="N94" s="32" t="n">
        <x:v>0</x:v>
      </x:c>
      <x:c r="O94" s="32" t="n">
        <x:v>1</x:v>
      </x:c>
      <x:c r="P94" s="29" t="n">
        <x:v>0.42</x:v>
      </x:c>
      <x:c r="Q94" s="29" t="str">
        <x:v>deterministic_synthetic_bank_position</x:v>
      </x:c>
    </x:row>
    <x:row r="95">
      <x:c r="A95" s="29" t="str">
        <x:v>AUR-0091</x:v>
      </x:c>
      <x:c r="B95" s="29" t="str">
        <x:v>liability</x:v>
      </x:c>
      <x:c r="C95" s="29" t="str">
        <x:v>demand_deposits</x:v>
      </x:c>
      <x:c r="D95" s="29" t="str">
        <x:v>TRY</x:v>
      </x:c>
      <x:c r="E95" s="31" t="n">
        <x:v>2484.619448</x:v>
      </x:c>
      <x:c r="F95" s="31" t="n">
        <x:v>1</x:v>
      </x:c>
      <x:c r="G95" s="31" t="n">
        <x:v>2484.619448</x:v>
      </x:c>
      <x:c r="H95" s="29" t="str">
        <x:v>non_maturity</x:v>
      </x:c>
      <x:c r="I95" s="32" t="n">
        <x:v>18.120555</x:v>
      </x:c>
      <x:c r="J95" s="32" t="n">
        <x:v>4.922936</x:v>
      </x:c>
      <x:c r="K95" s="32" t="n">
        <x:v>0.360155</x:v>
      </x:c>
      <x:c r="L95" s="32" t="str">
        <x:v>NONE</x:v>
      </x:c>
      <x:c r="M95" s="32" t="n">
        <x:v>0.9</x:v>
      </x:c>
      <x:c r="N95" s="32" t="n">
        <x:v>0</x:v>
      </x:c>
      <x:c r="O95" s="32" t="n">
        <x:v>1</x:v>
      </x:c>
      <x:c r="P95" s="29" t="n">
        <x:v>0.42</x:v>
      </x:c>
      <x:c r="Q95" s="29" t="str">
        <x:v>deterministic_synthetic_bank_position</x:v>
      </x:c>
    </x:row>
    <x:row r="96">
      <x:c r="A96" s="29" t="str">
        <x:v>AUR-0092</x:v>
      </x:c>
      <x:c r="B96" s="29" t="str">
        <x:v>liability</x:v>
      </x:c>
      <x:c r="C96" s="29" t="str">
        <x:v>demand_deposits</x:v>
      </x:c>
      <x:c r="D96" s="29" t="str">
        <x:v>TRY</x:v>
      </x:c>
      <x:c r="E96" s="31" t="n">
        <x:v>2509.356098</x:v>
      </x:c>
      <x:c r="F96" s="31" t="n">
        <x:v>1</x:v>
      </x:c>
      <x:c r="G96" s="31" t="n">
        <x:v>2509.356098</x:v>
      </x:c>
      <x:c r="H96" s="29" t="str">
        <x:v>non_maturity</x:v>
      </x:c>
      <x:c r="I96" s="32" t="n">
        <x:v>17.647366</x:v>
      </x:c>
      <x:c r="J96" s="32" t="n">
        <x:v>3.616411</x:v>
      </x:c>
      <x:c r="K96" s="32" t="n">
        <x:v>0.542266</x:v>
      </x:c>
      <x:c r="L96" s="32" t="str">
        <x:v>NONE</x:v>
      </x:c>
      <x:c r="M96" s="32" t="n">
        <x:v>0.9</x:v>
      </x:c>
      <x:c r="N96" s="32" t="n">
        <x:v>0</x:v>
      </x:c>
      <x:c r="O96" s="32" t="n">
        <x:v>1</x:v>
      </x:c>
      <x:c r="P96" s="29" t="n">
        <x:v>0.42</x:v>
      </x:c>
      <x:c r="Q96" s="29" t="str">
        <x:v>deterministic_synthetic_bank_position</x:v>
      </x:c>
    </x:row>
    <x:row r="97">
      <x:c r="A97" s="29" t="str">
        <x:v>AUR-0093</x:v>
      </x:c>
      <x:c r="B97" s="29" t="str">
        <x:v>liability</x:v>
      </x:c>
      <x:c r="C97" s="29" t="str">
        <x:v>demand_deposits</x:v>
      </x:c>
      <x:c r="D97" s="29" t="str">
        <x:v>TRY</x:v>
      </x:c>
      <x:c r="E97" s="31" t="n">
        <x:v>2143.673465</x:v>
      </x:c>
      <x:c r="F97" s="31" t="n">
        <x:v>1</x:v>
      </x:c>
      <x:c r="G97" s="31" t="n">
        <x:v>2143.673465</x:v>
      </x:c>
      <x:c r="H97" s="29" t="str">
        <x:v>non_maturity</x:v>
      </x:c>
      <x:c r="I97" s="32" t="n">
        <x:v>17.628368</x:v>
      </x:c>
      <x:c r="J97" s="32" t="n">
        <x:v>4.839751</x:v>
      </x:c>
      <x:c r="K97" s="32" t="n">
        <x:v>0.524379</x:v>
      </x:c>
      <x:c r="L97" s="32" t="str">
        <x:v>NONE</x:v>
      </x:c>
      <x:c r="M97" s="32" t="n">
        <x:v>0.9</x:v>
      </x:c>
      <x:c r="N97" s="32" t="n">
        <x:v>0</x:v>
      </x:c>
      <x:c r="O97" s="32" t="n">
        <x:v>1</x:v>
      </x:c>
      <x:c r="P97" s="29" t="n">
        <x:v>0.42</x:v>
      </x:c>
      <x:c r="Q97" s="29" t="str">
        <x:v>deterministic_synthetic_bank_position</x:v>
      </x:c>
    </x:row>
    <x:row r="98">
      <x:c r="A98" s="29" t="str">
        <x:v>AUR-0094</x:v>
      </x:c>
      <x:c r="B98" s="29" t="str">
        <x:v>liability</x:v>
      </x:c>
      <x:c r="C98" s="29" t="str">
        <x:v>demand_deposits</x:v>
      </x:c>
      <x:c r="D98" s="29" t="str">
        <x:v>TRY</x:v>
      </x:c>
      <x:c r="E98" s="31" t="n">
        <x:v>1496.990275</x:v>
      </x:c>
      <x:c r="F98" s="31" t="n">
        <x:v>1</x:v>
      </x:c>
      <x:c r="G98" s="31" t="n">
        <x:v>1496.990275</x:v>
      </x:c>
      <x:c r="H98" s="29" t="str">
        <x:v>non_maturity</x:v>
      </x:c>
      <x:c r="I98" s="32" t="n">
        <x:v>18.019536</x:v>
      </x:c>
      <x:c r="J98" s="32" t="n">
        <x:v>3.432518</x:v>
      </x:c>
      <x:c r="K98" s="32" t="n">
        <x:v>0.219695</x:v>
      </x:c>
      <x:c r="L98" s="32" t="str">
        <x:v>NONE</x:v>
      </x:c>
      <x:c r="M98" s="32" t="n">
        <x:v>0.9</x:v>
      </x:c>
      <x:c r="N98" s="32" t="n">
        <x:v>0</x:v>
      </x:c>
      <x:c r="O98" s="32" t="n">
        <x:v>1</x:v>
      </x:c>
      <x:c r="P98" s="29" t="n">
        <x:v>0.42</x:v>
      </x:c>
      <x:c r="Q98" s="29" t="str">
        <x:v>deterministic_synthetic_bank_position</x:v>
      </x:c>
    </x:row>
    <x:row r="99">
      <x:c r="A99" s="29" t="str">
        <x:v>AUR-0095</x:v>
      </x:c>
      <x:c r="B99" s="29" t="str">
        <x:v>liability</x:v>
      </x:c>
      <x:c r="C99" s="29" t="str">
        <x:v>demand_deposits</x:v>
      </x:c>
      <x:c r="D99" s="29" t="str">
        <x:v>TRY</x:v>
      </x:c>
      <x:c r="E99" s="31" t="n">
        <x:v>4413.17483</x:v>
      </x:c>
      <x:c r="F99" s="31" t="n">
        <x:v>1</x:v>
      </x:c>
      <x:c r="G99" s="31" t="n">
        <x:v>4413.17483</x:v>
      </x:c>
      <x:c r="H99" s="29" t="str">
        <x:v>non_maturity</x:v>
      </x:c>
      <x:c r="I99" s="32" t="n">
        <x:v>17.939794</x:v>
      </x:c>
      <x:c r="J99" s="32" t="n">
        <x:v>3.557911</x:v>
      </x:c>
      <x:c r="K99" s="32" t="n">
        <x:v>0.252821</x:v>
      </x:c>
      <x:c r="L99" s="32" t="str">
        <x:v>NONE</x:v>
      </x:c>
      <x:c r="M99" s="32" t="n">
        <x:v>0.9</x:v>
      </x:c>
      <x:c r="N99" s="32" t="n">
        <x:v>0</x:v>
      </x:c>
      <x:c r="O99" s="32" t="n">
        <x:v>1</x:v>
      </x:c>
      <x:c r="P99" s="29" t="n">
        <x:v>0.42</x:v>
      </x:c>
      <x:c r="Q99" s="29" t="str">
        <x:v>deterministic_synthetic_bank_position</x:v>
      </x:c>
    </x:row>
    <x:row r="100">
      <x:c r="A100" s="29" t="str">
        <x:v>AUR-0096</x:v>
      </x:c>
      <x:c r="B100" s="29" t="str">
        <x:v>liability</x:v>
      </x:c>
      <x:c r="C100" s="29" t="str">
        <x:v>term_deposits</x:v>
      </x:c>
      <x:c r="D100" s="29" t="str">
        <x:v>TRY</x:v>
      </x:c>
      <x:c r="E100" s="31" t="n">
        <x:v>1639.919133</x:v>
      </x:c>
      <x:c r="F100" s="31" t="n">
        <x:v>1</x:v>
      </x:c>
      <x:c r="G100" s="31" t="n">
        <x:v>1639.919133</x:v>
      </x:c>
      <x:c r="H100" s="29" t="str">
        <x:v>fixed</x:v>
      </x:c>
      <x:c r="I100" s="32" t="n">
        <x:v>36.260202</x:v>
      </x:c>
      <x:c r="J100" s="32" t="n">
        <x:v>0.74024</x:v>
      </x:c>
      <x:c r="K100" s="32" t="n">
        <x:v>0.74024</x:v>
      </x:c>
      <x:c r="L100" s="32" t="str">
        <x:v>NONE</x:v>
      </x:c>
      <x:c r="M100" s="32" t="n">
        <x:v>0.9</x:v>
      </x:c>
      <x:c r="N100" s="32" t="n">
        <x:v>0</x:v>
      </x:c>
      <x:c r="O100" s="32" t="n">
        <x:v>30</x:v>
      </x:c>
      <x:c r="P100" s="29" t="n">
        <x:v>0</x:v>
      </x:c>
      <x:c r="Q100" s="29" t="str">
        <x:v>deterministic_synthetic_bank_position</x:v>
      </x:c>
    </x:row>
    <x:row r="101">
      <x:c r="A101" s="29" t="str">
        <x:v>AUR-0097</x:v>
      </x:c>
      <x:c r="B101" s="29" t="str">
        <x:v>liability</x:v>
      </x:c>
      <x:c r="C101" s="29" t="str">
        <x:v>term_deposits</x:v>
      </x:c>
      <x:c r="D101" s="29" t="str">
        <x:v>TRY</x:v>
      </x:c>
      <x:c r="E101" s="31" t="n">
        <x:v>3727.635531</x:v>
      </x:c>
      <x:c r="F101" s="31" t="n">
        <x:v>1</x:v>
      </x:c>
      <x:c r="G101" s="31" t="n">
        <x:v>3727.635531</x:v>
      </x:c>
      <x:c r="H101" s="29" t="str">
        <x:v>fixed</x:v>
      </x:c>
      <x:c r="I101" s="32" t="n">
        <x:v>36.669246</x:v>
      </x:c>
      <x:c r="J101" s="32" t="n">
        <x:v>0.189921</x:v>
      </x:c>
      <x:c r="K101" s="32" t="n">
        <x:v>0.189921</x:v>
      </x:c>
      <x:c r="L101" s="32" t="str">
        <x:v>NONE</x:v>
      </x:c>
      <x:c r="M101" s="32" t="n">
        <x:v>0.9</x:v>
      </x:c>
      <x:c r="N101" s="32" t="n">
        <x:v>0</x:v>
      </x:c>
      <x:c r="O101" s="32" t="n">
        <x:v>30</x:v>
      </x:c>
      <x:c r="P101" s="29" t="n">
        <x:v>0</x:v>
      </x:c>
      <x:c r="Q101" s="29" t="str">
        <x:v>deterministic_synthetic_bank_position</x:v>
      </x:c>
    </x:row>
    <x:row r="102">
      <x:c r="A102" s="29" t="str">
        <x:v>AUR-0098</x:v>
      </x:c>
      <x:c r="B102" s="29" t="str">
        <x:v>liability</x:v>
      </x:c>
      <x:c r="C102" s="29" t="str">
        <x:v>term_deposits</x:v>
      </x:c>
      <x:c r="D102" s="29" t="str">
        <x:v>TRY</x:v>
      </x:c>
      <x:c r="E102" s="31" t="n">
        <x:v>5256.748147</x:v>
      </x:c>
      <x:c r="F102" s="31" t="n">
        <x:v>1</x:v>
      </x:c>
      <x:c r="G102" s="31" t="n">
        <x:v>5256.748147</x:v>
      </x:c>
      <x:c r="H102" s="29" t="str">
        <x:v>fixed</x:v>
      </x:c>
      <x:c r="I102" s="32" t="n">
        <x:v>37.047708</x:v>
      </x:c>
      <x:c r="J102" s="32" t="n">
        <x:v>0.179381</x:v>
      </x:c>
      <x:c r="K102" s="32" t="n">
        <x:v>0.179381</x:v>
      </x:c>
      <x:c r="L102" s="32" t="str">
        <x:v>NONE</x:v>
      </x:c>
      <x:c r="M102" s="32" t="n">
        <x:v>0.9</x:v>
      </x:c>
      <x:c r="N102" s="32" t="n">
        <x:v>0</x:v>
      </x:c>
      <x:c r="O102" s="32" t="n">
        <x:v>30</x:v>
      </x:c>
      <x:c r="P102" s="29" t="n">
        <x:v>0</x:v>
      </x:c>
      <x:c r="Q102" s="29" t="str">
        <x:v>deterministic_synthetic_bank_position</x:v>
      </x:c>
    </x:row>
    <x:row r="103">
      <x:c r="A103" s="29" t="str">
        <x:v>AUR-0099</x:v>
      </x:c>
      <x:c r="B103" s="29" t="str">
        <x:v>liability</x:v>
      </x:c>
      <x:c r="C103" s="29" t="str">
        <x:v>term_deposits</x:v>
      </x:c>
      <x:c r="D103" s="29" t="str">
        <x:v>TRY</x:v>
      </x:c>
      <x:c r="E103" s="31" t="n">
        <x:v>6757.0567</x:v>
      </x:c>
      <x:c r="F103" s="31" t="n">
        <x:v>1</x:v>
      </x:c>
      <x:c r="G103" s="31" t="n">
        <x:v>6757.0567</x:v>
      </x:c>
      <x:c r="H103" s="29" t="str">
        <x:v>fixed</x:v>
      </x:c>
      <x:c r="I103" s="32" t="n">
        <x:v>36.474477</x:v>
      </x:c>
      <x:c r="J103" s="32" t="n">
        <x:v>0.239455</x:v>
      </x:c>
      <x:c r="K103" s="32" t="n">
        <x:v>0.239455</x:v>
      </x:c>
      <x:c r="L103" s="32" t="str">
        <x:v>NONE</x:v>
      </x:c>
      <x:c r="M103" s="32" t="n">
        <x:v>0.9</x:v>
      </x:c>
      <x:c r="N103" s="32" t="n">
        <x:v>0</x:v>
      </x:c>
      <x:c r="O103" s="32" t="n">
        <x:v>30</x:v>
      </x:c>
      <x:c r="P103" s="29" t="n">
        <x:v>0</x:v>
      </x:c>
      <x:c r="Q103" s="29" t="str">
        <x:v>deterministic_synthetic_bank_position</x:v>
      </x:c>
    </x:row>
    <x:row r="104">
      <x:c r="A104" s="29" t="str">
        <x:v>AUR-0100</x:v>
      </x:c>
      <x:c r="B104" s="29" t="str">
        <x:v>liability</x:v>
      </x:c>
      <x:c r="C104" s="29" t="str">
        <x:v>term_deposits</x:v>
      </x:c>
      <x:c r="D104" s="29" t="str">
        <x:v>TRY</x:v>
      </x:c>
      <x:c r="E104" s="31" t="n">
        <x:v>1904.461384</x:v>
      </x:c>
      <x:c r="F104" s="31" t="n">
        <x:v>1</x:v>
      </x:c>
      <x:c r="G104" s="31" t="n">
        <x:v>1904.461384</x:v>
      </x:c>
      <x:c r="H104" s="29" t="str">
        <x:v>fixed</x:v>
      </x:c>
      <x:c r="I104" s="32" t="n">
        <x:v>36.60144</x:v>
      </x:c>
      <x:c r="J104" s="32" t="n">
        <x:v>0.56196</x:v>
      </x:c>
      <x:c r="K104" s="32" t="n">
        <x:v>0.56196</x:v>
      </x:c>
      <x:c r="L104" s="32" t="str">
        <x:v>NONE</x:v>
      </x:c>
      <x:c r="M104" s="32" t="n">
        <x:v>0.9</x:v>
      </x:c>
      <x:c r="N104" s="32" t="n">
        <x:v>0</x:v>
      </x:c>
      <x:c r="O104" s="32" t="n">
        <x:v>30</x:v>
      </x:c>
      <x:c r="P104" s="29" t="n">
        <x:v>0</x:v>
      </x:c>
      <x:c r="Q104" s="29" t="str">
        <x:v>deterministic_synthetic_bank_position</x:v>
      </x:c>
    </x:row>
    <x:row r="105">
      <x:c r="A105" s="29" t="str">
        <x:v>AUR-0101</x:v>
      </x:c>
      <x:c r="B105" s="29" t="str">
        <x:v>liability</x:v>
      </x:c>
      <x:c r="C105" s="29" t="str">
        <x:v>term_deposits</x:v>
      </x:c>
      <x:c r="D105" s="29" t="str">
        <x:v>TRY</x:v>
      </x:c>
      <x:c r="E105" s="31" t="n">
        <x:v>1658.774023</x:v>
      </x:c>
      <x:c r="F105" s="31" t="n">
        <x:v>1</x:v>
      </x:c>
      <x:c r="G105" s="31" t="n">
        <x:v>1658.774023</x:v>
      </x:c>
      <x:c r="H105" s="29" t="str">
        <x:v>fixed</x:v>
      </x:c>
      <x:c r="I105" s="32" t="n">
        <x:v>36.798338</x:v>
      </x:c>
      <x:c r="J105" s="32" t="n">
        <x:v>0.842753</x:v>
      </x:c>
      <x:c r="K105" s="32" t="n">
        <x:v>0.842753</x:v>
      </x:c>
      <x:c r="L105" s="32" t="str">
        <x:v>NONE</x:v>
      </x:c>
      <x:c r="M105" s="32" t="n">
        <x:v>0.9</x:v>
      </x:c>
      <x:c r="N105" s="32" t="n">
        <x:v>0</x:v>
      </x:c>
      <x:c r="O105" s="32" t="n">
        <x:v>30</x:v>
      </x:c>
      <x:c r="P105" s="29" t="n">
        <x:v>0</x:v>
      </x:c>
      <x:c r="Q105" s="29" t="str">
        <x:v>deterministic_synthetic_bank_position</x:v>
      </x:c>
    </x:row>
    <x:row r="106">
      <x:c r="A106" s="29" t="str">
        <x:v>AUR-0102</x:v>
      </x:c>
      <x:c r="B106" s="29" t="str">
        <x:v>liability</x:v>
      </x:c>
      <x:c r="C106" s="29" t="str">
        <x:v>term_deposits</x:v>
      </x:c>
      <x:c r="D106" s="29" t="str">
        <x:v>TRY</x:v>
      </x:c>
      <x:c r="E106" s="31" t="n">
        <x:v>1927.268246</x:v>
      </x:c>
      <x:c r="F106" s="31" t="n">
        <x:v>1</x:v>
      </x:c>
      <x:c r="G106" s="31" t="n">
        <x:v>1927.268246</x:v>
      </x:c>
      <x:c r="H106" s="29" t="str">
        <x:v>fixed</x:v>
      </x:c>
      <x:c r="I106" s="32" t="n">
        <x:v>36.439862</x:v>
      </x:c>
      <x:c r="J106" s="32" t="n">
        <x:v>0.159576</x:v>
      </x:c>
      <x:c r="K106" s="32" t="n">
        <x:v>0.159576</x:v>
      </x:c>
      <x:c r="L106" s="32" t="str">
        <x:v>NONE</x:v>
      </x:c>
      <x:c r="M106" s="32" t="n">
        <x:v>0.9</x:v>
      </x:c>
      <x:c r="N106" s="32" t="n">
        <x:v>0</x:v>
      </x:c>
      <x:c r="O106" s="32" t="n">
        <x:v>30</x:v>
      </x:c>
      <x:c r="P106" s="29" t="n">
        <x:v>0</x:v>
      </x:c>
      <x:c r="Q106" s="29" t="str">
        <x:v>deterministic_synthetic_bank_position</x:v>
      </x:c>
    </x:row>
    <x:row r="107">
      <x:c r="A107" s="29" t="str">
        <x:v>AUR-0103</x:v>
      </x:c>
      <x:c r="B107" s="29" t="str">
        <x:v>liability</x:v>
      </x:c>
      <x:c r="C107" s="29" t="str">
        <x:v>term_deposits</x:v>
      </x:c>
      <x:c r="D107" s="29" t="str">
        <x:v>TRY</x:v>
      </x:c>
      <x:c r="E107" s="31" t="n">
        <x:v>4320.485062</x:v>
      </x:c>
      <x:c r="F107" s="31" t="n">
        <x:v>1</x:v>
      </x:c>
      <x:c r="G107" s="31" t="n">
        <x:v>4320.485062</x:v>
      </x:c>
      <x:c r="H107" s="29" t="str">
        <x:v>fixed</x:v>
      </x:c>
      <x:c r="I107" s="32" t="n">
        <x:v>36.672915</x:v>
      </x:c>
      <x:c r="J107" s="32" t="n">
        <x:v>0.457907</x:v>
      </x:c>
      <x:c r="K107" s="32" t="n">
        <x:v>0.457907</x:v>
      </x:c>
      <x:c r="L107" s="32" t="str">
        <x:v>NONE</x:v>
      </x:c>
      <x:c r="M107" s="32" t="n">
        <x:v>0.9</x:v>
      </x:c>
      <x:c r="N107" s="32" t="n">
        <x:v>0</x:v>
      </x:c>
      <x:c r="O107" s="32" t="n">
        <x:v>30</x:v>
      </x:c>
      <x:c r="P107" s="29" t="n">
        <x:v>0</x:v>
      </x:c>
      <x:c r="Q107" s="29" t="str">
        <x:v>deterministic_synthetic_bank_position</x:v>
      </x:c>
    </x:row>
    <x:row r="108">
      <x:c r="A108" s="29" t="str">
        <x:v>AUR-0104</x:v>
      </x:c>
      <x:c r="B108" s="29" t="str">
        <x:v>liability</x:v>
      </x:c>
      <x:c r="C108" s="29" t="str">
        <x:v>term_deposits</x:v>
      </x:c>
      <x:c r="D108" s="29" t="str">
        <x:v>TRY</x:v>
      </x:c>
      <x:c r="E108" s="31" t="n">
        <x:v>7862.775792</x:v>
      </x:c>
      <x:c r="F108" s="31" t="n">
        <x:v>1</x:v>
      </x:c>
      <x:c r="G108" s="31" t="n">
        <x:v>7862.775792</x:v>
      </x:c>
      <x:c r="H108" s="29" t="str">
        <x:v>fixed</x:v>
      </x:c>
      <x:c r="I108" s="32" t="n">
        <x:v>36.474463</x:v>
      </x:c>
      <x:c r="J108" s="32" t="n">
        <x:v>0.722271</x:v>
      </x:c>
      <x:c r="K108" s="32" t="n">
        <x:v>0.722271</x:v>
      </x:c>
      <x:c r="L108" s="32" t="str">
        <x:v>NONE</x:v>
      </x:c>
      <x:c r="M108" s="32" t="n">
        <x:v>0.9</x:v>
      </x:c>
      <x:c r="N108" s="32" t="n">
        <x:v>0</x:v>
      </x:c>
      <x:c r="O108" s="32" t="n">
        <x:v>30</x:v>
      </x:c>
      <x:c r="P108" s="29" t="n">
        <x:v>0</x:v>
      </x:c>
      <x:c r="Q108" s="29" t="str">
        <x:v>deterministic_synthetic_bank_position</x:v>
      </x:c>
    </x:row>
    <x:row r="109">
      <x:c r="A109" s="29" t="str">
        <x:v>AUR-0105</x:v>
      </x:c>
      <x:c r="B109" s="29" t="str">
        <x:v>liability</x:v>
      </x:c>
      <x:c r="C109" s="29" t="str">
        <x:v>term_deposits</x:v>
      </x:c>
      <x:c r="D109" s="29" t="str">
        <x:v>TRY</x:v>
      </x:c>
      <x:c r="E109" s="31" t="n">
        <x:v>6713.866407</x:v>
      </x:c>
      <x:c r="F109" s="31" t="n">
        <x:v>1</x:v>
      </x:c>
      <x:c r="G109" s="31" t="n">
        <x:v>6713.866407</x:v>
      </x:c>
      <x:c r="H109" s="29" t="str">
        <x:v>fixed</x:v>
      </x:c>
      <x:c r="I109" s="32" t="n">
        <x:v>36.888747</x:v>
      </x:c>
      <x:c r="J109" s="32" t="n">
        <x:v>0.08214</x:v>
      </x:c>
      <x:c r="K109" s="32" t="n">
        <x:v>0.08214</x:v>
      </x:c>
      <x:c r="L109" s="32" t="str">
        <x:v>NONE</x:v>
      </x:c>
      <x:c r="M109" s="32" t="n">
        <x:v>0.9</x:v>
      </x:c>
      <x:c r="N109" s="32" t="n">
        <x:v>0</x:v>
      </x:c>
      <x:c r="O109" s="32" t="n">
        <x:v>30</x:v>
      </x:c>
      <x:c r="P109" s="29" t="n">
        <x:v>0</x:v>
      </x:c>
      <x:c r="Q109" s="29" t="str">
        <x:v>deterministic_synthetic_bank_position</x:v>
      </x:c>
    </x:row>
    <x:row r="110">
      <x:c r="A110" s="29" t="str">
        <x:v>AUR-0106</x:v>
      </x:c>
      <x:c r="B110" s="29" t="str">
        <x:v>liability</x:v>
      </x:c>
      <x:c r="C110" s="29" t="str">
        <x:v>term_deposits</x:v>
      </x:c>
      <x:c r="D110" s="29" t="str">
        <x:v>TRY</x:v>
      </x:c>
      <x:c r="E110" s="31" t="n">
        <x:v>5776.476919</x:v>
      </x:c>
      <x:c r="F110" s="31" t="n">
        <x:v>1</x:v>
      </x:c>
      <x:c r="G110" s="31" t="n">
        <x:v>5776.476919</x:v>
      </x:c>
      <x:c r="H110" s="29" t="str">
        <x:v>fixed</x:v>
      </x:c>
      <x:c r="I110" s="32" t="n">
        <x:v>36.311312</x:v>
      </x:c>
      <x:c r="J110" s="32" t="n">
        <x:v>0.222591</x:v>
      </x:c>
      <x:c r="K110" s="32" t="n">
        <x:v>0.222591</x:v>
      </x:c>
      <x:c r="L110" s="32" t="str">
        <x:v>NONE</x:v>
      </x:c>
      <x:c r="M110" s="32" t="n">
        <x:v>0.9</x:v>
      </x:c>
      <x:c r="N110" s="32" t="n">
        <x:v>0</x:v>
      </x:c>
      <x:c r="O110" s="32" t="n">
        <x:v>30</x:v>
      </x:c>
      <x:c r="P110" s="29" t="n">
        <x:v>0</x:v>
      </x:c>
      <x:c r="Q110" s="29" t="str">
        <x:v>deterministic_synthetic_bank_position</x:v>
      </x:c>
    </x:row>
    <x:row r="111">
      <x:c r="A111" s="29" t="str">
        <x:v>AUR-0107</x:v>
      </x:c>
      <x:c r="B111" s="29" t="str">
        <x:v>liability</x:v>
      </x:c>
      <x:c r="C111" s="29" t="str">
        <x:v>term_deposits</x:v>
      </x:c>
      <x:c r="D111" s="29" t="str">
        <x:v>TRY</x:v>
      </x:c>
      <x:c r="E111" s="31" t="n">
        <x:v>9454.532656</x:v>
      </x:c>
      <x:c r="F111" s="31" t="n">
        <x:v>1</x:v>
      </x:c>
      <x:c r="G111" s="31" t="n">
        <x:v>9454.532656</x:v>
      </x:c>
      <x:c r="H111" s="29" t="str">
        <x:v>fixed</x:v>
      </x:c>
      <x:c r="I111" s="32" t="n">
        <x:v>36.636644</x:v>
      </x:c>
      <x:c r="J111" s="32" t="n">
        <x:v>0.198709</x:v>
      </x:c>
      <x:c r="K111" s="32" t="n">
        <x:v>0.198709</x:v>
      </x:c>
      <x:c r="L111" s="32" t="str">
        <x:v>NONE</x:v>
      </x:c>
      <x:c r="M111" s="32" t="n">
        <x:v>0.9</x:v>
      </x:c>
      <x:c r="N111" s="32" t="n">
        <x:v>0</x:v>
      </x:c>
      <x:c r="O111" s="32" t="n">
        <x:v>30</x:v>
      </x:c>
      <x:c r="P111" s="29" t="n">
        <x:v>0</x:v>
      </x:c>
      <x:c r="Q111" s="29" t="str">
        <x:v>deterministic_synthetic_bank_position</x:v>
      </x:c>
    </x:row>
    <x:row r="112">
      <x:c r="A112" s="29" t="str">
        <x:v>AUR-0108</x:v>
      </x:c>
      <x:c r="B112" s="29" t="str">
        <x:v>liability</x:v>
      </x:c>
      <x:c r="C112" s="29" t="str">
        <x:v>interbank_funding</x:v>
      </x:c>
      <x:c r="D112" s="29" t="str">
        <x:v>TRY</x:v>
      </x:c>
      <x:c r="E112" s="31" t="n">
        <x:v>1264.625474</x:v>
      </x:c>
      <x:c r="F112" s="31" t="n">
        <x:v>1</x:v>
      </x:c>
      <x:c r="G112" s="31" t="n">
        <x:v>1264.625474</x:v>
      </x:c>
      <x:c r="H112" s="29" t="str">
        <x:v>floating</x:v>
      </x:c>
      <x:c r="I112" s="32" t="n">
        <x:v>39.742447</x:v>
      </x:c>
      <x:c r="J112" s="32" t="n">
        <x:v>0.480584</x:v>
      </x:c>
      <x:c r="K112" s="32" t="n">
        <x:v>0.432645</x:v>
      </x:c>
      <x:c r="L112" s="32" t="str">
        <x:v>NONE</x:v>
      </x:c>
      <x:c r="M112" s="32" t="n">
        <x:v>0.5</x:v>
      </x:c>
      <x:c r="N112" s="32" t="n">
        <x:v>0</x:v>
      </x:c>
      <x:c r="O112" s="32" t="n">
        <x:v>7</x:v>
      </x:c>
      <x:c r="P112" s="29" t="n">
        <x:v>0</x:v>
      </x:c>
      <x:c r="Q112" s="29" t="str">
        <x:v>deterministic_synthetic_bank_position</x:v>
      </x:c>
    </x:row>
    <x:row r="113">
      <x:c r="A113" s="29" t="str">
        <x:v>AUR-0109</x:v>
      </x:c>
      <x:c r="B113" s="29" t="str">
        <x:v>liability</x:v>
      </x:c>
      <x:c r="C113" s="29" t="str">
        <x:v>interbank_funding</x:v>
      </x:c>
      <x:c r="D113" s="29" t="str">
        <x:v>TRY</x:v>
      </x:c>
      <x:c r="E113" s="31" t="n">
        <x:v>1164.655802</x:v>
      </x:c>
      <x:c r="F113" s="31" t="n">
        <x:v>1</x:v>
      </x:c>
      <x:c r="G113" s="31" t="n">
        <x:v>1164.655802</x:v>
      </x:c>
      <x:c r="H113" s="29" t="str">
        <x:v>floating</x:v>
      </x:c>
      <x:c r="I113" s="32" t="n">
        <x:v>39.263368</x:v>
      </x:c>
      <x:c r="J113" s="32" t="n">
        <x:v>0.484398</x:v>
      </x:c>
      <x:c r="K113" s="32" t="n">
        <x:v>0.417268</x:v>
      </x:c>
      <x:c r="L113" s="32" t="str">
        <x:v>NONE</x:v>
      </x:c>
      <x:c r="M113" s="32" t="n">
        <x:v>0.5</x:v>
      </x:c>
      <x:c r="N113" s="32" t="n">
        <x:v>0</x:v>
      </x:c>
      <x:c r="O113" s="32" t="n">
        <x:v>7</x:v>
      </x:c>
      <x:c r="P113" s="29" t="n">
        <x:v>0</x:v>
      </x:c>
      <x:c r="Q113" s="29" t="str">
        <x:v>deterministic_synthetic_bank_position</x:v>
      </x:c>
    </x:row>
    <x:row r="114">
      <x:c r="A114" s="29" t="str">
        <x:v>AUR-0110</x:v>
      </x:c>
      <x:c r="B114" s="29" t="str">
        <x:v>liability</x:v>
      </x:c>
      <x:c r="C114" s="29" t="str">
        <x:v>interbank_funding</x:v>
      </x:c>
      <x:c r="D114" s="29" t="str">
        <x:v>TRY</x:v>
      </x:c>
      <x:c r="E114" s="31" t="n">
        <x:v>2914.638178</x:v>
      </x:c>
      <x:c r="F114" s="31" t="n">
        <x:v>1</x:v>
      </x:c>
      <x:c r="G114" s="31" t="n">
        <x:v>2914.638178</x:v>
      </x:c>
      <x:c r="H114" s="29" t="str">
        <x:v>floating</x:v>
      </x:c>
      <x:c r="I114" s="32" t="n">
        <x:v>39.418414</x:v>
      </x:c>
      <x:c r="J114" s="32" t="n">
        <x:v>0.197727</x:v>
      </x:c>
      <x:c r="K114" s="32" t="n">
        <x:v>0.197727</x:v>
      </x:c>
      <x:c r="L114" s="32" t="str">
        <x:v>NONE</x:v>
      </x:c>
      <x:c r="M114" s="32" t="n">
        <x:v>0.5</x:v>
      </x:c>
      <x:c r="N114" s="32" t="n">
        <x:v>0</x:v>
      </x:c>
      <x:c r="O114" s="32" t="n">
        <x:v>7</x:v>
      </x:c>
      <x:c r="P114" s="29" t="n">
        <x:v>0</x:v>
      </x:c>
      <x:c r="Q114" s="29" t="str">
        <x:v>deterministic_synthetic_bank_position</x:v>
      </x:c>
    </x:row>
    <x:row r="115">
      <x:c r="A115" s="29" t="str">
        <x:v>AUR-0111</x:v>
      </x:c>
      <x:c r="B115" s="29" t="str">
        <x:v>liability</x:v>
      </x:c>
      <x:c r="C115" s="29" t="str">
        <x:v>interbank_funding</x:v>
      </x:c>
      <x:c r="D115" s="29" t="str">
        <x:v>TRY</x:v>
      </x:c>
      <x:c r="E115" s="31" t="n">
        <x:v>2868.624047</x:v>
      </x:c>
      <x:c r="F115" s="31" t="n">
        <x:v>1</x:v>
      </x:c>
      <x:c r="G115" s="31" t="n">
        <x:v>2868.624047</x:v>
      </x:c>
      <x:c r="H115" s="29" t="str">
        <x:v>floating</x:v>
      </x:c>
      <x:c r="I115" s="32" t="n">
        <x:v>39.95505</x:v>
      </x:c>
      <x:c r="J115" s="32" t="n">
        <x:v>0.189897</x:v>
      </x:c>
      <x:c r="K115" s="32" t="n">
        <x:v>0.188727</x:v>
      </x:c>
      <x:c r="L115" s="32" t="str">
        <x:v>NONE</x:v>
      </x:c>
      <x:c r="M115" s="32" t="n">
        <x:v>0.5</x:v>
      </x:c>
      <x:c r="N115" s="32" t="n">
        <x:v>0</x:v>
      </x:c>
      <x:c r="O115" s="32" t="n">
        <x:v>7</x:v>
      </x:c>
      <x:c r="P115" s="29" t="n">
        <x:v>0</x:v>
      </x:c>
      <x:c r="Q115" s="29" t="str">
        <x:v>deterministic_synthetic_bank_position</x:v>
      </x:c>
    </x:row>
    <x:row r="116">
      <x:c r="A116" s="29" t="str">
        <x:v>AUR-0112</x:v>
      </x:c>
      <x:c r="B116" s="29" t="str">
        <x:v>liability</x:v>
      </x:c>
      <x:c r="C116" s="29" t="str">
        <x:v>interbank_funding</x:v>
      </x:c>
      <x:c r="D116" s="29" t="str">
        <x:v>TRY</x:v>
      </x:c>
      <x:c r="E116" s="31" t="n">
        <x:v>1787.456499</x:v>
      </x:c>
      <x:c r="F116" s="31" t="n">
        <x:v>1</x:v>
      </x:c>
      <x:c r="G116" s="31" t="n">
        <x:v>1787.456499</x:v>
      </x:c>
      <x:c r="H116" s="29" t="str">
        <x:v>floating</x:v>
      </x:c>
      <x:c r="I116" s="32" t="n">
        <x:v>39.691472</x:v>
      </x:c>
      <x:c r="J116" s="32" t="n">
        <x:v>0.612864</x:v>
      </x:c>
      <x:c r="K116" s="32" t="n">
        <x:v>0.274071</x:v>
      </x:c>
      <x:c r="L116" s="32" t="str">
        <x:v>NONE</x:v>
      </x:c>
      <x:c r="M116" s="32" t="n">
        <x:v>0.5</x:v>
      </x:c>
      <x:c r="N116" s="32" t="n">
        <x:v>0</x:v>
      </x:c>
      <x:c r="O116" s="32" t="n">
        <x:v>7</x:v>
      </x:c>
      <x:c r="P116" s="29" t="n">
        <x:v>0</x:v>
      </x:c>
      <x:c r="Q116" s="29" t="str">
        <x:v>deterministic_synthetic_bank_position</x:v>
      </x:c>
    </x:row>
    <x:row r="117">
      <x:c r="A117" s="29" t="str">
        <x:v>AUR-0113</x:v>
      </x:c>
      <x:c r="B117" s="29" t="str">
        <x:v>liability</x:v>
      </x:c>
      <x:c r="C117" s="29" t="str">
        <x:v>repo_funding</x:v>
      </x:c>
      <x:c r="D117" s="29" t="str">
        <x:v>TRY</x:v>
      </x:c>
      <x:c r="E117" s="31" t="n">
        <x:v>401.87056</x:v>
      </x:c>
      <x:c r="F117" s="31" t="n">
        <x:v>1</x:v>
      </x:c>
      <x:c r="G117" s="31" t="n">
        <x:v>401.87056</x:v>
      </x:c>
      <x:c r="H117" s="29" t="str">
        <x:v>floating</x:v>
      </x:c>
      <x:c r="I117" s="32" t="n">
        <x:v>39.28889</x:v>
      </x:c>
      <x:c r="J117" s="32" t="n">
        <x:v>0.111871</x:v>
      </x:c>
      <x:c r="K117" s="32" t="n">
        <x:v>0.111871</x:v>
      </x:c>
      <x:c r="L117" s="32" t="str">
        <x:v>NONE</x:v>
      </x:c>
      <x:c r="M117" s="32" t="n">
        <x:v>0</x:v>
      </x:c>
      <x:c r="N117" s="32" t="n">
        <x:v>0</x:v>
      </x:c>
      <x:c r="O117" s="32" t="n">
        <x:v>7</x:v>
      </x:c>
      <x:c r="P117" s="29" t="n">
        <x:v>0</x:v>
      </x:c>
      <x:c r="Q117" s="29" t="str">
        <x:v>deterministic_synthetic_bank_position</x:v>
      </x:c>
    </x:row>
    <x:row r="118">
      <x:c r="A118" s="29" t="str">
        <x:v>AUR-0114</x:v>
      </x:c>
      <x:c r="B118" s="29" t="str">
        <x:v>liability</x:v>
      </x:c>
      <x:c r="C118" s="29" t="str">
        <x:v>repo_funding</x:v>
      </x:c>
      <x:c r="D118" s="29" t="str">
        <x:v>TRY</x:v>
      </x:c>
      <x:c r="E118" s="31" t="n">
        <x:v>2446.587339</x:v>
      </x:c>
      <x:c r="F118" s="31" t="n">
        <x:v>1</x:v>
      </x:c>
      <x:c r="G118" s="31" t="n">
        <x:v>2446.587339</x:v>
      </x:c>
      <x:c r="H118" s="29" t="str">
        <x:v>floating</x:v>
      </x:c>
      <x:c r="I118" s="32" t="n">
        <x:v>39.042246</x:v>
      </x:c>
      <x:c r="J118" s="32" t="n">
        <x:v>0.111943</x:v>
      </x:c>
      <x:c r="K118" s="32" t="n">
        <x:v>0.111943</x:v>
      </x:c>
      <x:c r="L118" s="32" t="str">
        <x:v>NONE</x:v>
      </x:c>
      <x:c r="M118" s="32" t="n">
        <x:v>0</x:v>
      </x:c>
      <x:c r="N118" s="32" t="n">
        <x:v>0</x:v>
      </x:c>
      <x:c r="O118" s="32" t="n">
        <x:v>7</x:v>
      </x:c>
      <x:c r="P118" s="29" t="n">
        <x:v>0</x:v>
      </x:c>
      <x:c r="Q118" s="29" t="str">
        <x:v>deterministic_synthetic_bank_position</x:v>
      </x:c>
    </x:row>
    <x:row r="119">
      <x:c r="A119" s="29" t="str">
        <x:v>AUR-0115</x:v>
      </x:c>
      <x:c r="B119" s="29" t="str">
        <x:v>liability</x:v>
      </x:c>
      <x:c r="C119" s="29" t="str">
        <x:v>repo_funding</x:v>
      </x:c>
      <x:c r="D119" s="29" t="str">
        <x:v>TRY</x:v>
      </x:c>
      <x:c r="E119" s="31" t="n">
        <x:v>4412.160563</x:v>
      </x:c>
      <x:c r="F119" s="31" t="n">
        <x:v>1</x:v>
      </x:c>
      <x:c r="G119" s="31" t="n">
        <x:v>4412.160563</x:v>
      </x:c>
      <x:c r="H119" s="29" t="str">
        <x:v>floating</x:v>
      </x:c>
      <x:c r="I119" s="32" t="n">
        <x:v>38.396331</x:v>
      </x:c>
      <x:c r="J119" s="32" t="n">
        <x:v>0.055576</x:v>
      </x:c>
      <x:c r="K119" s="32" t="n">
        <x:v>0.055576</x:v>
      </x:c>
      <x:c r="L119" s="32" t="str">
        <x:v>NONE</x:v>
      </x:c>
      <x:c r="M119" s="32" t="n">
        <x:v>0</x:v>
      </x:c>
      <x:c r="N119" s="32" t="n">
        <x:v>0</x:v>
      </x:c>
      <x:c r="O119" s="32" t="n">
        <x:v>7</x:v>
      </x:c>
      <x:c r="P119" s="29" t="n">
        <x:v>0</x:v>
      </x:c>
      <x:c r="Q119" s="29" t="str">
        <x:v>deterministic_synthetic_bank_position</x:v>
      </x:c>
    </x:row>
    <x:row r="120">
      <x:c r="A120" s="29" t="str">
        <x:v>AUR-0116</x:v>
      </x:c>
      <x:c r="B120" s="29" t="str">
        <x:v>liability</x:v>
      </x:c>
      <x:c r="C120" s="29" t="str">
        <x:v>repo_funding</x:v>
      </x:c>
      <x:c r="D120" s="29" t="str">
        <x:v>TRY</x:v>
      </x:c>
      <x:c r="E120" s="31" t="n">
        <x:v>739.381538</x:v>
      </x:c>
      <x:c r="F120" s="31" t="n">
        <x:v>1</x:v>
      </x:c>
      <x:c r="G120" s="31" t="n">
        <x:v>739.381538</x:v>
      </x:c>
      <x:c r="H120" s="29" t="str">
        <x:v>floating</x:v>
      </x:c>
      <x:c r="I120" s="32" t="n">
        <x:v>38.808858</x:v>
      </x:c>
      <x:c r="J120" s="32" t="n">
        <x:v>0.179083</x:v>
      </x:c>
      <x:c r="K120" s="32" t="n">
        <x:v>0.179083</x:v>
      </x:c>
      <x:c r="L120" s="32" t="str">
        <x:v>NONE</x:v>
      </x:c>
      <x:c r="M120" s="32" t="n">
        <x:v>0</x:v>
      </x:c>
      <x:c r="N120" s="32" t="n">
        <x:v>0</x:v>
      </x:c>
      <x:c r="O120" s="32" t="n">
        <x:v>7</x:v>
      </x:c>
      <x:c r="P120" s="29" t="n">
        <x:v>0</x:v>
      </x:c>
      <x:c r="Q120" s="29" t="str">
        <x:v>deterministic_synthetic_bank_position</x:v>
      </x:c>
    </x:row>
    <x:row r="121">
      <x:c r="A121" s="29" t="str">
        <x:v>AUR-0117</x:v>
      </x:c>
      <x:c r="B121" s="29" t="str">
        <x:v>liability</x:v>
      </x:c>
      <x:c r="C121" s="29" t="str">
        <x:v>issued_debt</x:v>
      </x:c>
      <x:c r="D121" s="29" t="str">
        <x:v>TRY</x:v>
      </x:c>
      <x:c r="E121" s="31" t="n">
        <x:v>792.984636</x:v>
      </x:c>
      <x:c r="F121" s="31" t="n">
        <x:v>1</x:v>
      </x:c>
      <x:c r="G121" s="31" t="n">
        <x:v>792.984636</x:v>
      </x:c>
      <x:c r="H121" s="29" t="str">
        <x:v>fixed</x:v>
      </x:c>
      <x:c r="I121" s="32" t="n">
        <x:v>31.788368</x:v>
      </x:c>
      <x:c r="J121" s="32" t="n">
        <x:v>5.811573</x:v>
      </x:c>
      <x:c r="K121" s="32" t="n">
        <x:v>5.811573</x:v>
      </x:c>
      <x:c r="L121" s="32" t="str">
        <x:v>NONE</x:v>
      </x:c>
      <x:c r="M121" s="32" t="n">
        <x:v>1</x:v>
      </x:c>
      <x:c r="N121" s="32" t="n">
        <x:v>0</x:v>
      </x:c>
      <x:c r="O121" s="32" t="n">
        <x:v>180</x:v>
      </x:c>
      <x:c r="P121" s="29" t="n">
        <x:v>0</x:v>
      </x:c>
      <x:c r="Q121" s="29" t="str">
        <x:v>deterministic_synthetic_bank_position</x:v>
      </x:c>
    </x:row>
    <x:row r="122">
      <x:c r="A122" s="29" t="str">
        <x:v>AUR-0118</x:v>
      </x:c>
      <x:c r="B122" s="29" t="str">
        <x:v>liability</x:v>
      </x:c>
      <x:c r="C122" s="29" t="str">
        <x:v>issued_debt</x:v>
      </x:c>
      <x:c r="D122" s="29" t="str">
        <x:v>TRY</x:v>
      </x:c>
      <x:c r="E122" s="31" t="n">
        <x:v>701.445736</x:v>
      </x:c>
      <x:c r="F122" s="31" t="n">
        <x:v>1</x:v>
      </x:c>
      <x:c r="G122" s="31" t="n">
        <x:v>701.445736</x:v>
      </x:c>
      <x:c r="H122" s="29" t="str">
        <x:v>fixed</x:v>
      </x:c>
      <x:c r="I122" s="32" t="n">
        <x:v>31.305156</x:v>
      </x:c>
      <x:c r="J122" s="32" t="n">
        <x:v>3.556636</x:v>
      </x:c>
      <x:c r="K122" s="32" t="n">
        <x:v>3.556636</x:v>
      </x:c>
      <x:c r="L122" s="32" t="str">
        <x:v>NONE</x:v>
      </x:c>
      <x:c r="M122" s="32" t="n">
        <x:v>1</x:v>
      </x:c>
      <x:c r="N122" s="32" t="n">
        <x:v>0</x:v>
      </x:c>
      <x:c r="O122" s="32" t="n">
        <x:v>180</x:v>
      </x:c>
      <x:c r="P122" s="29" t="n">
        <x:v>0</x:v>
      </x:c>
      <x:c r="Q122" s="29" t="str">
        <x:v>deterministic_synthetic_bank_position</x:v>
      </x:c>
    </x:row>
    <x:row r="123">
      <x:c r="A123" s="29" t="str">
        <x:v>AUR-0119</x:v>
      </x:c>
      <x:c r="B123" s="29" t="str">
        <x:v>liability</x:v>
      </x:c>
      <x:c r="C123" s="29" t="str">
        <x:v>issued_debt</x:v>
      </x:c>
      <x:c r="D123" s="29" t="str">
        <x:v>TRY</x:v>
      </x:c>
      <x:c r="E123" s="31" t="n">
        <x:v>2272.545453</x:v>
      </x:c>
      <x:c r="F123" s="31" t="n">
        <x:v>1</x:v>
      </x:c>
      <x:c r="G123" s="31" t="n">
        <x:v>2272.545453</x:v>
      </x:c>
      <x:c r="H123" s="29" t="str">
        <x:v>fixed</x:v>
      </x:c>
      <x:c r="I123" s="32" t="n">
        <x:v>31.724409</x:v>
      </x:c>
      <x:c r="J123" s="32" t="n">
        <x:v>1.501705</x:v>
      </x:c>
      <x:c r="K123" s="32" t="n">
        <x:v>1.501705</x:v>
      </x:c>
      <x:c r="L123" s="32" t="str">
        <x:v>NONE</x:v>
      </x:c>
      <x:c r="M123" s="32" t="n">
        <x:v>1</x:v>
      </x:c>
      <x:c r="N123" s="32" t="n">
        <x:v>0</x:v>
      </x:c>
      <x:c r="O123" s="32" t="n">
        <x:v>180</x:v>
      </x:c>
      <x:c r="P123" s="29" t="n">
        <x:v>0</x:v>
      </x:c>
      <x:c r="Q123" s="29" t="str">
        <x:v>deterministic_synthetic_bank_position</x:v>
      </x:c>
    </x:row>
    <x:row r="124">
      <x:c r="A124" s="29" t="str">
        <x:v>AUR-0120</x:v>
      </x:c>
      <x:c r="B124" s="29" t="str">
        <x:v>liability</x:v>
      </x:c>
      <x:c r="C124" s="29" t="str">
        <x:v>issued_debt</x:v>
      </x:c>
      <x:c r="D124" s="29" t="str">
        <x:v>TRY</x:v>
      </x:c>
      <x:c r="E124" s="31" t="n">
        <x:v>5236.30536</x:v>
      </x:c>
      <x:c r="F124" s="31" t="n">
        <x:v>1</x:v>
      </x:c>
      <x:c r="G124" s="31" t="n">
        <x:v>5236.30536</x:v>
      </x:c>
      <x:c r="H124" s="29" t="str">
        <x:v>fixed</x:v>
      </x:c>
      <x:c r="I124" s="32" t="n">
        <x:v>32.270612</x:v>
      </x:c>
      <x:c r="J124" s="32" t="n">
        <x:v>4.502175</x:v>
      </x:c>
      <x:c r="K124" s="32" t="n">
        <x:v>4.502175</x:v>
      </x:c>
      <x:c r="L124" s="32" t="str">
        <x:v>NONE</x:v>
      </x:c>
      <x:c r="M124" s="32" t="n">
        <x:v>1</x:v>
      </x:c>
      <x:c r="N124" s="32" t="n">
        <x:v>0</x:v>
      </x:c>
      <x:c r="O124" s="32" t="n">
        <x:v>180</x:v>
      </x:c>
      <x:c r="P124" s="29" t="n">
        <x:v>0</x:v>
      </x:c>
      <x:c r="Q124" s="29" t="str">
        <x:v>deterministic_synthetic_bank_position</x:v>
      </x:c>
    </x:row>
    <x:row r="125">
      <x:c r="A125" s="29" t="str">
        <x:v>AUR-0121</x:v>
      </x:c>
      <x:c r="B125" s="29" t="str">
        <x:v>liability</x:v>
      </x:c>
      <x:c r="C125" s="29" t="str">
        <x:v>issued_debt</x:v>
      </x:c>
      <x:c r="D125" s="29" t="str">
        <x:v>TRY</x:v>
      </x:c>
      <x:c r="E125" s="31" t="n">
        <x:v>996.718815</x:v>
      </x:c>
      <x:c r="F125" s="31" t="n">
        <x:v>1</x:v>
      </x:c>
      <x:c r="G125" s="31" t="n">
        <x:v>996.718815</x:v>
      </x:c>
      <x:c r="H125" s="29" t="str">
        <x:v>fixed</x:v>
      </x:c>
      <x:c r="I125" s="32" t="n">
        <x:v>32.005255</x:v>
      </x:c>
      <x:c r="J125" s="32" t="n">
        <x:v>1.212251</x:v>
      </x:c>
      <x:c r="K125" s="32" t="n">
        <x:v>1.212251</x:v>
      </x:c>
      <x:c r="L125" s="32" t="str">
        <x:v>NONE</x:v>
      </x:c>
      <x:c r="M125" s="32" t="n">
        <x:v>1</x:v>
      </x:c>
      <x:c r="N125" s="32" t="n">
        <x:v>0</x:v>
      </x:c>
      <x:c r="O125" s="32" t="n">
        <x:v>180</x:v>
      </x:c>
      <x:c r="P125" s="29" t="n">
        <x:v>0</x:v>
      </x:c>
      <x:c r="Q125" s="29" t="str">
        <x:v>deterministic_synthetic_bank_position</x:v>
      </x:c>
    </x:row>
    <x:row r="126">
      <x:c r="A126" s="29" t="str">
        <x:v>AUR-0122</x:v>
      </x:c>
      <x:c r="B126" s="29" t="str">
        <x:v>liability</x:v>
      </x:c>
      <x:c r="C126" s="29" t="str">
        <x:v>demand_deposits</x:v>
      </x:c>
      <x:c r="D126" s="29" t="str">
        <x:v>USD</x:v>
      </x:c>
      <x:c r="E126" s="31" t="n">
        <x:v>58.961991</x:v>
      </x:c>
      <x:c r="F126" s="31" t="n">
        <x:v>47.8467</x:v>
      </x:c>
      <x:c r="G126" s="31" t="n">
        <x:v>2821.136691</x:v>
      </x:c>
      <x:c r="H126" s="29" t="str">
        <x:v>non_maturity</x:v>
      </x:c>
      <x:c r="I126" s="32" t="n">
        <x:v>1.139316</x:v>
      </x:c>
      <x:c r="J126" s="32" t="n">
        <x:v>3.559379</x:v>
      </x:c>
      <x:c r="K126" s="32" t="n">
        <x:v>0.405262</x:v>
      </x:c>
      <x:c r="L126" s="32" t="str">
        <x:v>NONE</x:v>
      </x:c>
      <x:c r="M126" s="32" t="n">
        <x:v>0.9</x:v>
      </x:c>
      <x:c r="N126" s="32" t="n">
        <x:v>0</x:v>
      </x:c>
      <x:c r="O126" s="32" t="n">
        <x:v>1</x:v>
      </x:c>
      <x:c r="P126" s="29" t="n">
        <x:v>0.3</x:v>
      </x:c>
      <x:c r="Q126" s="29" t="str">
        <x:v>deterministic_synthetic_bank_position</x:v>
      </x:c>
    </x:row>
    <x:row r="127">
      <x:c r="A127" s="29" t="str">
        <x:v>AUR-0123</x:v>
      </x:c>
      <x:c r="B127" s="29" t="str">
        <x:v>liability</x:v>
      </x:c>
      <x:c r="C127" s="29" t="str">
        <x:v>demand_deposits</x:v>
      </x:c>
      <x:c r="D127" s="29" t="str">
        <x:v>USD</x:v>
      </x:c>
      <x:c r="E127" s="31" t="n">
        <x:v>15.253677</x:v>
      </x:c>
      <x:c r="F127" s="31" t="n">
        <x:v>47.8467</x:v>
      </x:c>
      <x:c r="G127" s="31" t="n">
        <x:v>729.838115</x:v>
      </x:c>
      <x:c r="H127" s="29" t="str">
        <x:v>non_maturity</x:v>
      </x:c>
      <x:c r="I127" s="32" t="n">
        <x:v>0.860989</x:v>
      </x:c>
      <x:c r="J127" s="32" t="n">
        <x:v>3.090404</x:v>
      </x:c>
      <x:c r="K127" s="32" t="n">
        <x:v>0.50217</x:v>
      </x:c>
      <x:c r="L127" s="32" t="str">
        <x:v>NONE</x:v>
      </x:c>
      <x:c r="M127" s="32" t="n">
        <x:v>0.9</x:v>
      </x:c>
      <x:c r="N127" s="32" t="n">
        <x:v>0</x:v>
      </x:c>
      <x:c r="O127" s="32" t="n">
        <x:v>1</x:v>
      </x:c>
      <x:c r="P127" s="29" t="n">
        <x:v>0.3</x:v>
      </x:c>
      <x:c r="Q127" s="29" t="str">
        <x:v>deterministic_synthetic_bank_position</x:v>
      </x:c>
    </x:row>
    <x:row r="128">
      <x:c r="A128" s="29" t="str">
        <x:v>AUR-0124</x:v>
      </x:c>
      <x:c r="B128" s="29" t="str">
        <x:v>liability</x:v>
      </x:c>
      <x:c r="C128" s="29" t="str">
        <x:v>demand_deposits</x:v>
      </x:c>
      <x:c r="D128" s="29" t="str">
        <x:v>USD</x:v>
      </x:c>
      <x:c r="E128" s="31" t="n">
        <x:v>36.369726</x:v>
      </x:c>
      <x:c r="F128" s="31" t="n">
        <x:v>47.8467</x:v>
      </x:c>
      <x:c r="G128" s="31" t="n">
        <x:v>1740.171372</x:v>
      </x:c>
      <x:c r="H128" s="29" t="str">
        <x:v>non_maturity</x:v>
      </x:c>
      <x:c r="I128" s="32" t="n">
        <x:v>1.019136</x:v>
      </x:c>
      <x:c r="J128" s="32" t="n">
        <x:v>2.008463</x:v>
      </x:c>
      <x:c r="K128" s="32" t="n">
        <x:v>0.255339</x:v>
      </x:c>
      <x:c r="L128" s="32" t="str">
        <x:v>NONE</x:v>
      </x:c>
      <x:c r="M128" s="32" t="n">
        <x:v>0.9</x:v>
      </x:c>
      <x:c r="N128" s="32" t="n">
        <x:v>0</x:v>
      </x:c>
      <x:c r="O128" s="32" t="n">
        <x:v>1</x:v>
      </x:c>
      <x:c r="P128" s="29" t="n">
        <x:v>0.3</x:v>
      </x:c>
      <x:c r="Q128" s="29" t="str">
        <x:v>deterministic_synthetic_bank_position</x:v>
      </x:c>
    </x:row>
    <x:row r="129">
      <x:c r="A129" s="29" t="str">
        <x:v>AUR-0125</x:v>
      </x:c>
      <x:c r="B129" s="29" t="str">
        <x:v>liability</x:v>
      </x:c>
      <x:c r="C129" s="29" t="str">
        <x:v>demand_deposits</x:v>
      </x:c>
      <x:c r="D129" s="29" t="str">
        <x:v>USD</x:v>
      </x:c>
      <x:c r="E129" s="31" t="n">
        <x:v>20.75049</x:v>
      </x:c>
      <x:c r="F129" s="31" t="n">
        <x:v>47.8467</x:v>
      </x:c>
      <x:c r="G129" s="31" t="n">
        <x:v>992.842449</x:v>
      </x:c>
      <x:c r="H129" s="29" t="str">
        <x:v>non_maturity</x:v>
      </x:c>
      <x:c r="I129" s="32" t="n">
        <x:v>1.302399</x:v>
      </x:c>
      <x:c r="J129" s="32" t="n">
        <x:v>3.736603</x:v>
      </x:c>
      <x:c r="K129" s="32" t="n">
        <x:v>0.246648</x:v>
      </x:c>
      <x:c r="L129" s="32" t="str">
        <x:v>NONE</x:v>
      </x:c>
      <x:c r="M129" s="32" t="n">
        <x:v>0.9</x:v>
      </x:c>
      <x:c r="N129" s="32" t="n">
        <x:v>0</x:v>
      </x:c>
      <x:c r="O129" s="32" t="n">
        <x:v>1</x:v>
      </x:c>
      <x:c r="P129" s="29" t="n">
        <x:v>0.3</x:v>
      </x:c>
      <x:c r="Q129" s="29" t="str">
        <x:v>deterministic_synthetic_bank_position</x:v>
      </x:c>
    </x:row>
    <x:row r="130">
      <x:c r="A130" s="29" t="str">
        <x:v>AUR-0126</x:v>
      </x:c>
      <x:c r="B130" s="29" t="str">
        <x:v>liability</x:v>
      </x:c>
      <x:c r="C130" s="29" t="str">
        <x:v>demand_deposits</x:v>
      </x:c>
      <x:c r="D130" s="29" t="str">
        <x:v>USD</x:v>
      </x:c>
      <x:c r="E130" s="31" t="n">
        <x:v>35.86478</x:v>
      </x:c>
      <x:c r="F130" s="31" t="n">
        <x:v>47.8467</x:v>
      </x:c>
      <x:c r="G130" s="31" t="n">
        <x:v>1716.011373</x:v>
      </x:c>
      <x:c r="H130" s="29" t="str">
        <x:v>non_maturity</x:v>
      </x:c>
      <x:c r="I130" s="32" t="n">
        <x:v>1.051783</x:v>
      </x:c>
      <x:c r="J130" s="32" t="n">
        <x:v>2.059715</x:v>
      </x:c>
      <x:c r="K130" s="32" t="n">
        <x:v>0.311685</x:v>
      </x:c>
      <x:c r="L130" s="32" t="str">
        <x:v>NONE</x:v>
      </x:c>
      <x:c r="M130" s="32" t="n">
        <x:v>0.9</x:v>
      </x:c>
      <x:c r="N130" s="32" t="n">
        <x:v>0</x:v>
      </x:c>
      <x:c r="O130" s="32" t="n">
        <x:v>1</x:v>
      </x:c>
      <x:c r="P130" s="29" t="n">
        <x:v>0.3</x:v>
      </x:c>
      <x:c r="Q130" s="29" t="str">
        <x:v>deterministic_synthetic_bank_position</x:v>
      </x:c>
    </x:row>
    <x:row r="131">
      <x:c r="A131" s="29" t="str">
        <x:v>AUR-0127</x:v>
      </x:c>
      <x:c r="B131" s="29" t="str">
        <x:v>liability</x:v>
      </x:c>
      <x:c r="C131" s="29" t="str">
        <x:v>term_deposits</x:v>
      </x:c>
      <x:c r="D131" s="29" t="str">
        <x:v>USD</x:v>
      </x:c>
      <x:c r="E131" s="31" t="n">
        <x:v>58.025958</x:v>
      </x:c>
      <x:c r="F131" s="31" t="n">
        <x:v>47.8467</x:v>
      </x:c>
      <x:c r="G131" s="31" t="n">
        <x:v>2776.350582</x:v>
      </x:c>
      <x:c r="H131" s="29" t="str">
        <x:v>fixed</x:v>
      </x:c>
      <x:c r="I131" s="32" t="n">
        <x:v>3.537949</x:v>
      </x:c>
      <x:c r="J131" s="32" t="n">
        <x:v>0.308134</x:v>
      </x:c>
      <x:c r="K131" s="32" t="n">
        <x:v>0.308134</x:v>
      </x:c>
      <x:c r="L131" s="32" t="str">
        <x:v>NONE</x:v>
      </x:c>
      <x:c r="M131" s="32" t="n">
        <x:v>0.9</x:v>
      </x:c>
      <x:c r="N131" s="32" t="n">
        <x:v>0</x:v>
      </x:c>
      <x:c r="O131" s="32" t="n">
        <x:v>30</x:v>
      </x:c>
      <x:c r="P131" s="29" t="n">
        <x:v>0</x:v>
      </x:c>
      <x:c r="Q131" s="29" t="str">
        <x:v>deterministic_synthetic_bank_position</x:v>
      </x:c>
    </x:row>
    <x:row r="132">
      <x:c r="A132" s="29" t="str">
        <x:v>AUR-0128</x:v>
      </x:c>
      <x:c r="B132" s="29" t="str">
        <x:v>liability</x:v>
      </x:c>
      <x:c r="C132" s="29" t="str">
        <x:v>term_deposits</x:v>
      </x:c>
      <x:c r="D132" s="29" t="str">
        <x:v>USD</x:v>
      </x:c>
      <x:c r="E132" s="31" t="n">
        <x:v>27.997726</x:v>
      </x:c>
      <x:c r="F132" s="31" t="n">
        <x:v>47.8467</x:v>
      </x:c>
      <x:c r="G132" s="31" t="n">
        <x:v>1339.598786</x:v>
      </x:c>
      <x:c r="H132" s="29" t="str">
        <x:v>fixed</x:v>
      </x:c>
      <x:c r="I132" s="32" t="n">
        <x:v>3.356283</x:v>
      </x:c>
      <x:c r="J132" s="32" t="n">
        <x:v>0.40884</x:v>
      </x:c>
      <x:c r="K132" s="32" t="n">
        <x:v>0.40884</x:v>
      </x:c>
      <x:c r="L132" s="32" t="str">
        <x:v>NONE</x:v>
      </x:c>
      <x:c r="M132" s="32" t="n">
        <x:v>0.9</x:v>
      </x:c>
      <x:c r="N132" s="32" t="n">
        <x:v>0</x:v>
      </x:c>
      <x:c r="O132" s="32" t="n">
        <x:v>30</x:v>
      </x:c>
      <x:c r="P132" s="29" t="n">
        <x:v>0</x:v>
      </x:c>
      <x:c r="Q132" s="29" t="str">
        <x:v>deterministic_synthetic_bank_position</x:v>
      </x:c>
    </x:row>
    <x:row r="133">
      <x:c r="A133" s="29" t="str">
        <x:v>AUR-0129</x:v>
      </x:c>
      <x:c r="B133" s="29" t="str">
        <x:v>liability</x:v>
      </x:c>
      <x:c r="C133" s="29" t="str">
        <x:v>term_deposits</x:v>
      </x:c>
      <x:c r="D133" s="29" t="str">
        <x:v>USD</x:v>
      </x:c>
      <x:c r="E133" s="31" t="n">
        <x:v>41.225172</x:v>
      </x:c>
      <x:c r="F133" s="31" t="n">
        <x:v>47.8467</x:v>
      </x:c>
      <x:c r="G133" s="31" t="n">
        <x:v>1972.488443</x:v>
      </x:c>
      <x:c r="H133" s="29" t="str">
        <x:v>fixed</x:v>
      </x:c>
      <x:c r="I133" s="32" t="n">
        <x:v>3.540852</x:v>
      </x:c>
      <x:c r="J133" s="32" t="n">
        <x:v>0.863347</x:v>
      </x:c>
      <x:c r="K133" s="32" t="n">
        <x:v>0.863347</x:v>
      </x:c>
      <x:c r="L133" s="32" t="str">
        <x:v>NONE</x:v>
      </x:c>
      <x:c r="M133" s="32" t="n">
        <x:v>0.9</x:v>
      </x:c>
      <x:c r="N133" s="32" t="n">
        <x:v>0</x:v>
      </x:c>
      <x:c r="O133" s="32" t="n">
        <x:v>30</x:v>
      </x:c>
      <x:c r="P133" s="29" t="n">
        <x:v>0</x:v>
      </x:c>
      <x:c r="Q133" s="29" t="str">
        <x:v>deterministic_synthetic_bank_position</x:v>
      </x:c>
    </x:row>
    <x:row r="134">
      <x:c r="A134" s="29" t="str">
        <x:v>AUR-0130</x:v>
      </x:c>
      <x:c r="B134" s="29" t="str">
        <x:v>liability</x:v>
      </x:c>
      <x:c r="C134" s="29" t="str">
        <x:v>term_deposits</x:v>
      </x:c>
      <x:c r="D134" s="29" t="str">
        <x:v>USD</x:v>
      </x:c>
      <x:c r="E134" s="31" t="n">
        <x:v>20.739498</x:v>
      </x:c>
      <x:c r="F134" s="31" t="n">
        <x:v>47.8467</x:v>
      </x:c>
      <x:c r="G134" s="31" t="n">
        <x:v>992.316522</x:v>
      </x:c>
      <x:c r="H134" s="29" t="str">
        <x:v>fixed</x:v>
      </x:c>
      <x:c r="I134" s="32" t="n">
        <x:v>3.577884</x:v>
      </x:c>
      <x:c r="J134" s="32" t="n">
        <x:v>0.101327</x:v>
      </x:c>
      <x:c r="K134" s="32" t="n">
        <x:v>0.101327</x:v>
      </x:c>
      <x:c r="L134" s="32" t="str">
        <x:v>NONE</x:v>
      </x:c>
      <x:c r="M134" s="32" t="n">
        <x:v>0.9</x:v>
      </x:c>
      <x:c r="N134" s="32" t="n">
        <x:v>0</x:v>
      </x:c>
      <x:c r="O134" s="32" t="n">
        <x:v>30</x:v>
      </x:c>
      <x:c r="P134" s="29" t="n">
        <x:v>0</x:v>
      </x:c>
      <x:c r="Q134" s="29" t="str">
        <x:v>deterministic_synthetic_bank_position</x:v>
      </x:c>
    </x:row>
    <x:row r="135">
      <x:c r="A135" s="29" t="str">
        <x:v>AUR-0131</x:v>
      </x:c>
      <x:c r="B135" s="29" t="str">
        <x:v>liability</x:v>
      </x:c>
      <x:c r="C135" s="29" t="str">
        <x:v>term_deposits</x:v>
      </x:c>
      <x:c r="D135" s="29" t="str">
        <x:v>USD</x:v>
      </x:c>
      <x:c r="E135" s="31" t="n">
        <x:v>24.522105</x:v>
      </x:c>
      <x:c r="F135" s="31" t="n">
        <x:v>47.8467</x:v>
      </x:c>
      <x:c r="G135" s="31" t="n">
        <x:v>1173.301809</x:v>
      </x:c>
      <x:c r="H135" s="29" t="str">
        <x:v>fixed</x:v>
      </x:c>
      <x:c r="I135" s="32" t="n">
        <x:v>3.339086</x:v>
      </x:c>
      <x:c r="J135" s="32" t="n">
        <x:v>0.782372</x:v>
      </x:c>
      <x:c r="K135" s="32" t="n">
        <x:v>0.782372</x:v>
      </x:c>
      <x:c r="L135" s="32" t="str">
        <x:v>NONE</x:v>
      </x:c>
      <x:c r="M135" s="32" t="n">
        <x:v>0.9</x:v>
      </x:c>
      <x:c r="N135" s="32" t="n">
        <x:v>0</x:v>
      </x:c>
      <x:c r="O135" s="32" t="n">
        <x:v>30</x:v>
      </x:c>
      <x:c r="P135" s="29" t="n">
        <x:v>0</x:v>
      </x:c>
      <x:c r="Q135" s="29" t="str">
        <x:v>deterministic_synthetic_bank_position</x:v>
      </x:c>
    </x:row>
    <x:row r="136">
      <x:c r="A136" s="29" t="str">
        <x:v>AUR-0132</x:v>
      </x:c>
      <x:c r="B136" s="29" t="str">
        <x:v>liability</x:v>
      </x:c>
      <x:c r="C136" s="29" t="str">
        <x:v>term_deposits</x:v>
      </x:c>
      <x:c r="D136" s="29" t="str">
        <x:v>USD</x:v>
      </x:c>
      <x:c r="E136" s="31" t="n">
        <x:v>36.490371</x:v>
      </x:c>
      <x:c r="F136" s="31" t="n">
        <x:v>47.8467</x:v>
      </x:c>
      <x:c r="G136" s="31" t="n">
        <x:v>1745.943858</x:v>
      </x:c>
      <x:c r="H136" s="29" t="str">
        <x:v>fixed</x:v>
      </x:c>
      <x:c r="I136" s="32" t="n">
        <x:v>3.047591</x:v>
      </x:c>
      <x:c r="J136" s="32" t="n">
        <x:v>0.808065</x:v>
      </x:c>
      <x:c r="K136" s="32" t="n">
        <x:v>0.808065</x:v>
      </x:c>
      <x:c r="L136" s="32" t="str">
        <x:v>NONE</x:v>
      </x:c>
      <x:c r="M136" s="32" t="n">
        <x:v>0.9</x:v>
      </x:c>
      <x:c r="N136" s="32" t="n">
        <x:v>0</x:v>
      </x:c>
      <x:c r="O136" s="32" t="n">
        <x:v>30</x:v>
      </x:c>
      <x:c r="P136" s="29" t="n">
        <x:v>0</x:v>
      </x:c>
      <x:c r="Q136" s="29" t="str">
        <x:v>deterministic_synthetic_bank_position</x:v>
      </x:c>
    </x:row>
    <x:row r="137">
      <x:c r="A137" s="29" t="str">
        <x:v>AUR-0133</x:v>
      </x:c>
      <x:c r="B137" s="29" t="str">
        <x:v>liability</x:v>
      </x:c>
      <x:c r="C137" s="29" t="str">
        <x:v>wholesale_funding</x:v>
      </x:c>
      <x:c r="D137" s="29" t="str">
        <x:v>USD</x:v>
      </x:c>
      <x:c r="E137" s="31" t="n">
        <x:v>23.747378</x:v>
      </x:c>
      <x:c r="F137" s="31" t="n">
        <x:v>47.8467</x:v>
      </x:c>
      <x:c r="G137" s="31" t="n">
        <x:v>1136.233652</x:v>
      </x:c>
      <x:c r="H137" s="29" t="str">
        <x:v>floating</x:v>
      </x:c>
      <x:c r="I137" s="32" t="n">
        <x:v>5.431463</x:v>
      </x:c>
      <x:c r="J137" s="32" t="n">
        <x:v>0.777186</x:v>
      </x:c>
      <x:c r="K137" s="32" t="n">
        <x:v>0.225998</x:v>
      </x:c>
      <x:c r="L137" s="32" t="str">
        <x:v>NONE</x:v>
      </x:c>
      <x:c r="M137" s="32" t="n">
        <x:v>0.5</x:v>
      </x:c>
      <x:c r="N137" s="32" t="n">
        <x:v>0</x:v>
      </x:c>
      <x:c r="O137" s="32" t="n">
        <x:v>30</x:v>
      </x:c>
      <x:c r="P137" s="29" t="n">
        <x:v>0</x:v>
      </x:c>
      <x:c r="Q137" s="29" t="str">
        <x:v>deterministic_synthetic_bank_position</x:v>
      </x:c>
    </x:row>
    <x:row r="138">
      <x:c r="A138" s="29" t="str">
        <x:v>AUR-0134</x:v>
      </x:c>
      <x:c r="B138" s="29" t="str">
        <x:v>liability</x:v>
      </x:c>
      <x:c r="C138" s="29" t="str">
        <x:v>wholesale_funding</x:v>
      </x:c>
      <x:c r="D138" s="29" t="str">
        <x:v>USD</x:v>
      </x:c>
      <x:c r="E138" s="31" t="n">
        <x:v>44.729681</x:v>
      </x:c>
      <x:c r="F138" s="31" t="n">
        <x:v>47.8467</x:v>
      </x:c>
      <x:c r="G138" s="31" t="n">
        <x:v>2140.167645</x:v>
      </x:c>
      <x:c r="H138" s="29" t="str">
        <x:v>floating</x:v>
      </x:c>
      <x:c r="I138" s="32" t="n">
        <x:v>6.332699</x:v>
      </x:c>
      <x:c r="J138" s="32" t="n">
        <x:v>1.858641</x:v>
      </x:c>
      <x:c r="K138" s="32" t="n">
        <x:v>0.445336</x:v>
      </x:c>
      <x:c r="L138" s="32" t="str">
        <x:v>NONE</x:v>
      </x:c>
      <x:c r="M138" s="32" t="n">
        <x:v>0.5</x:v>
      </x:c>
      <x:c r="N138" s="32" t="n">
        <x:v>0</x:v>
      </x:c>
      <x:c r="O138" s="32" t="n">
        <x:v>30</x:v>
      </x:c>
      <x:c r="P138" s="29" t="n">
        <x:v>0</x:v>
      </x:c>
      <x:c r="Q138" s="29" t="str">
        <x:v>deterministic_synthetic_bank_position</x:v>
      </x:c>
    </x:row>
    <x:row r="139">
      <x:c r="A139" s="29" t="str">
        <x:v>AUR-0135</x:v>
      </x:c>
      <x:c r="B139" s="29" t="str">
        <x:v>liability</x:v>
      </x:c>
      <x:c r="C139" s="29" t="str">
        <x:v>wholesale_funding</x:v>
      </x:c>
      <x:c r="D139" s="29" t="str">
        <x:v>USD</x:v>
      </x:c>
      <x:c r="E139" s="31" t="n">
        <x:v>32.591125</x:v>
      </x:c>
      <x:c r="F139" s="31" t="n">
        <x:v>47.8467</x:v>
      </x:c>
      <x:c r="G139" s="31" t="n">
        <x:v>1559.377796</x:v>
      </x:c>
      <x:c r="H139" s="29" t="str">
        <x:v>floating</x:v>
      </x:c>
      <x:c r="I139" s="32" t="n">
        <x:v>5.937646</x:v>
      </x:c>
      <x:c r="J139" s="32" t="n">
        <x:v>1.28369</x:v>
      </x:c>
      <x:c r="K139" s="32" t="n">
        <x:v>0.113278</x:v>
      </x:c>
      <x:c r="L139" s="32" t="str">
        <x:v>NONE</x:v>
      </x:c>
      <x:c r="M139" s="32" t="n">
        <x:v>0.5</x:v>
      </x:c>
      <x:c r="N139" s="32" t="n">
        <x:v>0</x:v>
      </x:c>
      <x:c r="O139" s="32" t="n">
        <x:v>30</x:v>
      </x:c>
      <x:c r="P139" s="29" t="n">
        <x:v>0</x:v>
      </x:c>
      <x:c r="Q139" s="29" t="str">
        <x:v>deterministic_synthetic_bank_position</x:v>
      </x:c>
    </x:row>
    <x:row r="140">
      <x:c r="A140" s="29" t="str">
        <x:v>AUR-0136</x:v>
      </x:c>
      <x:c r="B140" s="29" t="str">
        <x:v>liability</x:v>
      </x:c>
      <x:c r="C140" s="29" t="str">
        <x:v>wholesale_funding</x:v>
      </x:c>
      <x:c r="D140" s="29" t="str">
        <x:v>USD</x:v>
      </x:c>
      <x:c r="E140" s="31" t="n">
        <x:v>24.332314</x:v>
      </x:c>
      <x:c r="F140" s="31" t="n">
        <x:v>47.8467</x:v>
      </x:c>
      <x:c r="G140" s="31" t="n">
        <x:v>1164.220907</x:v>
      </x:c>
      <x:c r="H140" s="29" t="str">
        <x:v>floating</x:v>
      </x:c>
      <x:c r="I140" s="32" t="n">
        <x:v>5.445704</x:v>
      </x:c>
      <x:c r="J140" s="32" t="n">
        <x:v>1.918093</x:v>
      </x:c>
      <x:c r="K140" s="32" t="n">
        <x:v>0.142092</x:v>
      </x:c>
      <x:c r="L140" s="32" t="str">
        <x:v>NONE</x:v>
      </x:c>
      <x:c r="M140" s="32" t="n">
        <x:v>0.5</x:v>
      </x:c>
      <x:c r="N140" s="32" t="n">
        <x:v>0</x:v>
      </x:c>
      <x:c r="O140" s="32" t="n">
        <x:v>30</x:v>
      </x:c>
      <x:c r="P140" s="29" t="n">
        <x:v>0</x:v>
      </x:c>
      <x:c r="Q140" s="29" t="str">
        <x:v>deterministic_synthetic_bank_position</x:v>
      </x:c>
    </x:row>
    <x:row r="141">
      <x:c r="A141" s="29" t="str">
        <x:v>AUR-0137</x:v>
      </x:c>
      <x:c r="B141" s="29" t="str">
        <x:v>liability</x:v>
      </x:c>
      <x:c r="C141" s="29" t="str">
        <x:v>demand_deposits</x:v>
      </x:c>
      <x:c r="D141" s="29" t="str">
        <x:v>EUR</x:v>
      </x:c>
      <x:c r="E141" s="31" t="n">
        <x:v>34.699522</x:v>
      </x:c>
      <x:c r="F141" s="31" t="n">
        <x:v>55.5061</x:v>
      </x:c>
      <x:c r="G141" s="31" t="n">
        <x:v>1926.035143</x:v>
      </x:c>
      <x:c r="H141" s="29" t="str">
        <x:v>non_maturity</x:v>
      </x:c>
      <x:c r="I141" s="32" t="n">
        <x:v>1.491181</x:v>
      </x:c>
      <x:c r="J141" s="32" t="n">
        <x:v>3.349582</x:v>
      </x:c>
      <x:c r="K141" s="32" t="n">
        <x:v>0.71766</x:v>
      </x:c>
      <x:c r="L141" s="32" t="str">
        <x:v>NONE</x:v>
      </x:c>
      <x:c r="M141" s="32" t="n">
        <x:v>0.9</x:v>
      </x:c>
      <x:c r="N141" s="32" t="n">
        <x:v>0</x:v>
      </x:c>
      <x:c r="O141" s="32" t="n">
        <x:v>1</x:v>
      </x:c>
      <x:c r="P141" s="29" t="n">
        <x:v>0.28</x:v>
      </x:c>
      <x:c r="Q141" s="29" t="str">
        <x:v>deterministic_synthetic_bank_position</x:v>
      </x:c>
    </x:row>
    <x:row r="142">
      <x:c r="A142" s="29" t="str">
        <x:v>AUR-0138</x:v>
      </x:c>
      <x:c r="B142" s="29" t="str">
        <x:v>liability</x:v>
      </x:c>
      <x:c r="C142" s="29" t="str">
        <x:v>demand_deposits</x:v>
      </x:c>
      <x:c r="D142" s="29" t="str">
        <x:v>EUR</x:v>
      </x:c>
      <x:c r="E142" s="31" t="n">
        <x:v>10.02932</x:v>
      </x:c>
      <x:c r="F142" s="31" t="n">
        <x:v>55.5061</x:v>
      </x:c>
      <x:c r="G142" s="31" t="n">
        <x:v>556.688447</x:v>
      </x:c>
      <x:c r="H142" s="29" t="str">
        <x:v>non_maturity</x:v>
      </x:c>
      <x:c r="I142" s="32" t="n">
        <x:v>1.437202</x:v>
      </x:c>
      <x:c r="J142" s="32" t="n">
        <x:v>4.4243</x:v>
      </x:c>
      <x:c r="K142" s="32" t="n">
        <x:v>0.445327</x:v>
      </x:c>
      <x:c r="L142" s="32" t="str">
        <x:v>NONE</x:v>
      </x:c>
      <x:c r="M142" s="32" t="n">
        <x:v>0.9</x:v>
      </x:c>
      <x:c r="N142" s="32" t="n">
        <x:v>0</x:v>
      </x:c>
      <x:c r="O142" s="32" t="n">
        <x:v>1</x:v>
      </x:c>
      <x:c r="P142" s="29" t="n">
        <x:v>0.28</x:v>
      </x:c>
      <x:c r="Q142" s="29" t="str">
        <x:v>deterministic_synthetic_bank_position</x:v>
      </x:c>
    </x:row>
    <x:row r="143">
      <x:c r="A143" s="29" t="str">
        <x:v>AUR-0139</x:v>
      </x:c>
      <x:c r="B143" s="29" t="str">
        <x:v>liability</x:v>
      </x:c>
      <x:c r="C143" s="29" t="str">
        <x:v>demand_deposits</x:v>
      </x:c>
      <x:c r="D143" s="29" t="str">
        <x:v>EUR</x:v>
      </x:c>
      <x:c r="E143" s="31" t="n">
        <x:v>11.027005</x:v>
      </x:c>
      <x:c r="F143" s="31" t="n">
        <x:v>55.5061</x:v>
      </x:c>
      <x:c r="G143" s="31" t="n">
        <x:v>612.066059</x:v>
      </x:c>
      <x:c r="H143" s="29" t="str">
        <x:v>non_maturity</x:v>
      </x:c>
      <x:c r="I143" s="32" t="n">
        <x:v>1.196862</x:v>
      </x:c>
      <x:c r="J143" s="32" t="n">
        <x:v>3.667355</x:v>
      </x:c>
      <x:c r="K143" s="32" t="n">
        <x:v>0.291922</x:v>
      </x:c>
      <x:c r="L143" s="32" t="str">
        <x:v>NONE</x:v>
      </x:c>
      <x:c r="M143" s="32" t="n">
        <x:v>0.9</x:v>
      </x:c>
      <x:c r="N143" s="32" t="n">
        <x:v>0</x:v>
      </x:c>
      <x:c r="O143" s="32" t="n">
        <x:v>1</x:v>
      </x:c>
      <x:c r="P143" s="29" t="n">
        <x:v>0.28</x:v>
      </x:c>
      <x:c r="Q143" s="29" t="str">
        <x:v>deterministic_synthetic_bank_position</x:v>
      </x:c>
    </x:row>
    <x:row r="144">
      <x:c r="A144" s="29" t="str">
        <x:v>AUR-0140</x:v>
      </x:c>
      <x:c r="B144" s="29" t="str">
        <x:v>liability</x:v>
      </x:c>
      <x:c r="C144" s="29" t="str">
        <x:v>demand_deposits</x:v>
      </x:c>
      <x:c r="D144" s="29" t="str">
        <x:v>EUR</x:v>
      </x:c>
      <x:c r="E144" s="31" t="n">
        <x:v>25.316323</x:v>
      </x:c>
      <x:c r="F144" s="31" t="n">
        <x:v>55.5061</x:v>
      </x:c>
      <x:c r="G144" s="31" t="n">
        <x:v>1405.210351</x:v>
      </x:c>
      <x:c r="H144" s="29" t="str">
        <x:v>non_maturity</x:v>
      </x:c>
      <x:c r="I144" s="32" t="n">
        <x:v>0.584448</x:v>
      </x:c>
      <x:c r="J144" s="32" t="n">
        <x:v>4.296813</x:v>
      </x:c>
      <x:c r="K144" s="32" t="n">
        <x:v>0.388791</x:v>
      </x:c>
      <x:c r="L144" s="32" t="str">
        <x:v>NONE</x:v>
      </x:c>
      <x:c r="M144" s="32" t="n">
        <x:v>0.9</x:v>
      </x:c>
      <x:c r="N144" s="32" t="n">
        <x:v>0</x:v>
      </x:c>
      <x:c r="O144" s="32" t="n">
        <x:v>1</x:v>
      </x:c>
      <x:c r="P144" s="29" t="n">
        <x:v>0.28</x:v>
      </x:c>
      <x:c r="Q144" s="29" t="str">
        <x:v>deterministic_synthetic_bank_position</x:v>
      </x:c>
    </x:row>
    <x:row r="145">
      <x:c r="A145" s="29" t="str">
        <x:v>AUR-0141</x:v>
      </x:c>
      <x:c r="B145" s="29" t="str">
        <x:v>liability</x:v>
      </x:c>
      <x:c r="C145" s="29" t="str">
        <x:v>term_deposits</x:v>
      </x:c>
      <x:c r="D145" s="29" t="str">
        <x:v>EUR</x:v>
      </x:c>
      <x:c r="E145" s="31" t="n">
        <x:v>54.655642</x:v>
      </x:c>
      <x:c r="F145" s="31" t="n">
        <x:v>55.5061</x:v>
      </x:c>
      <x:c r="G145" s="31" t="n">
        <x:v>3033.721517</x:v>
      </x:c>
      <x:c r="H145" s="29" t="str">
        <x:v>fixed</x:v>
      </x:c>
      <x:c r="I145" s="32" t="n">
        <x:v>2.173802</x:v>
      </x:c>
      <x:c r="J145" s="32" t="n">
        <x:v>0.967393</x:v>
      </x:c>
      <x:c r="K145" s="32" t="n">
        <x:v>0.967393</x:v>
      </x:c>
      <x:c r="L145" s="32" t="str">
        <x:v>NONE</x:v>
      </x:c>
      <x:c r="M145" s="32" t="n">
        <x:v>0.9</x:v>
      </x:c>
      <x:c r="N145" s="32" t="n">
        <x:v>0</x:v>
      </x:c>
      <x:c r="O145" s="32" t="n">
        <x:v>30</x:v>
      </x:c>
      <x:c r="P145" s="29" t="n">
        <x:v>0</x:v>
      </x:c>
      <x:c r="Q145" s="29" t="str">
        <x:v>deterministic_synthetic_bank_position</x:v>
      </x:c>
    </x:row>
    <x:row r="146">
      <x:c r="A146" s="29" t="str">
        <x:v>AUR-0142</x:v>
      </x:c>
      <x:c r="B146" s="29" t="str">
        <x:v>liability</x:v>
      </x:c>
      <x:c r="C146" s="29" t="str">
        <x:v>term_deposits</x:v>
      </x:c>
      <x:c r="D146" s="29" t="str">
        <x:v>EUR</x:v>
      </x:c>
      <x:c r="E146" s="31" t="n">
        <x:v>16.522715</x:v>
      </x:c>
      <x:c r="F146" s="31" t="n">
        <x:v>55.5061</x:v>
      </x:c>
      <x:c r="G146" s="31" t="n">
        <x:v>917.111452</x:v>
      </x:c>
      <x:c r="H146" s="29" t="str">
        <x:v>fixed</x:v>
      </x:c>
      <x:c r="I146" s="32" t="n">
        <x:v>2.541121</x:v>
      </x:c>
      <x:c r="J146" s="32" t="n">
        <x:v>0.883151</x:v>
      </x:c>
      <x:c r="K146" s="32" t="n">
        <x:v>0.883151</x:v>
      </x:c>
      <x:c r="L146" s="32" t="str">
        <x:v>NONE</x:v>
      </x:c>
      <x:c r="M146" s="32" t="n">
        <x:v>0.9</x:v>
      </x:c>
      <x:c r="N146" s="32" t="n">
        <x:v>0</x:v>
      </x:c>
      <x:c r="O146" s="32" t="n">
        <x:v>30</x:v>
      </x:c>
      <x:c r="P146" s="29" t="n">
        <x:v>0</x:v>
      </x:c>
      <x:c r="Q146" s="29" t="str">
        <x:v>deterministic_synthetic_bank_position</x:v>
      </x:c>
    </x:row>
    <x:row r="147">
      <x:c r="A147" s="29" t="str">
        <x:v>AUR-0143</x:v>
      </x:c>
      <x:c r="B147" s="29" t="str">
        <x:v>liability</x:v>
      </x:c>
      <x:c r="C147" s="29" t="str">
        <x:v>term_deposits</x:v>
      </x:c>
      <x:c r="D147" s="29" t="str">
        <x:v>EUR</x:v>
      </x:c>
      <x:c r="E147" s="31" t="n">
        <x:v>5.010673</x:v>
      </x:c>
      <x:c r="F147" s="31" t="n">
        <x:v>55.5061</x:v>
      </x:c>
      <x:c r="G147" s="31" t="n">
        <x:v>278.122897</x:v>
      </x:c>
      <x:c r="H147" s="29" t="str">
        <x:v>fixed</x:v>
      </x:c>
      <x:c r="I147" s="32" t="n">
        <x:v>2.630142</x:v>
      </x:c>
      <x:c r="J147" s="32" t="n">
        <x:v>0.49829</x:v>
      </x:c>
      <x:c r="K147" s="32" t="n">
        <x:v>0.49829</x:v>
      </x:c>
      <x:c r="L147" s="32" t="str">
        <x:v>NONE</x:v>
      </x:c>
      <x:c r="M147" s="32" t="n">
        <x:v>0.9</x:v>
      </x:c>
      <x:c r="N147" s="32" t="n">
        <x:v>0</x:v>
      </x:c>
      <x:c r="O147" s="32" t="n">
        <x:v>30</x:v>
      </x:c>
      <x:c r="P147" s="29" t="n">
        <x:v>0</x:v>
      </x:c>
      <x:c r="Q147" s="29" t="str">
        <x:v>deterministic_synthetic_bank_position</x:v>
      </x:c>
    </x:row>
    <x:row r="148">
      <x:c r="A148" s="29" t="str">
        <x:v>AUR-0144</x:v>
      </x:c>
      <x:c r="B148" s="29" t="str">
        <x:v>liability</x:v>
      </x:c>
      <x:c r="C148" s="29" t="str">
        <x:v>term_deposits</x:v>
      </x:c>
      <x:c r="D148" s="29" t="str">
        <x:v>EUR</x:v>
      </x:c>
      <x:c r="E148" s="31" t="n">
        <x:v>19.070589</x:v>
      </x:c>
      <x:c r="F148" s="31" t="n">
        <x:v>55.5061</x:v>
      </x:c>
      <x:c r="G148" s="31" t="n">
        <x:v>1058.534013</x:v>
      </x:c>
      <x:c r="H148" s="29" t="str">
        <x:v>fixed</x:v>
      </x:c>
      <x:c r="I148" s="32" t="n">
        <x:v>2.833401</x:v>
      </x:c>
      <x:c r="J148" s="32" t="n">
        <x:v>0.139518</x:v>
      </x:c>
      <x:c r="K148" s="32" t="n">
        <x:v>0.139518</x:v>
      </x:c>
      <x:c r="L148" s="32" t="str">
        <x:v>NONE</x:v>
      </x:c>
      <x:c r="M148" s="32" t="n">
        <x:v>0.9</x:v>
      </x:c>
      <x:c r="N148" s="32" t="n">
        <x:v>0</x:v>
      </x:c>
      <x:c r="O148" s="32" t="n">
        <x:v>30</x:v>
      </x:c>
      <x:c r="P148" s="29" t="n">
        <x:v>0</x:v>
      </x:c>
      <x:c r="Q148" s="29" t="str">
        <x:v>deterministic_synthetic_bank_position</x:v>
      </x:c>
    </x:row>
    <x:row r="149">
      <x:c r="A149" s="29" t="str">
        <x:v>AUR-0145</x:v>
      </x:c>
      <x:c r="B149" s="29" t="str">
        <x:v>liability</x:v>
      </x:c>
      <x:c r="C149" s="29" t="str">
        <x:v>term_deposits</x:v>
      </x:c>
      <x:c r="D149" s="29" t="str">
        <x:v>EUR</x:v>
      </x:c>
      <x:c r="E149" s="31" t="n">
        <x:v>12.836609</x:v>
      </x:c>
      <x:c r="F149" s="31" t="n">
        <x:v>55.5061</x:v>
      </x:c>
      <x:c r="G149" s="31" t="n">
        <x:v>712.510121</x:v>
      </x:c>
      <x:c r="H149" s="29" t="str">
        <x:v>fixed</x:v>
      </x:c>
      <x:c r="I149" s="32" t="n">
        <x:v>2.278265</x:v>
      </x:c>
      <x:c r="J149" s="32" t="n">
        <x:v>0.394673</x:v>
      </x:c>
      <x:c r="K149" s="32" t="n">
        <x:v>0.394673</x:v>
      </x:c>
      <x:c r="L149" s="32" t="str">
        <x:v>NONE</x:v>
      </x:c>
      <x:c r="M149" s="32" t="n">
        <x:v>0.9</x:v>
      </x:c>
      <x:c r="N149" s="32" t="n">
        <x:v>0</x:v>
      </x:c>
      <x:c r="O149" s="32" t="n">
        <x:v>30</x:v>
      </x:c>
      <x:c r="P149" s="29" t="n">
        <x:v>0</x:v>
      </x:c>
      <x:c r="Q149" s="29" t="str">
        <x:v>deterministic_synthetic_bank_position</x:v>
      </x:c>
    </x:row>
    <x:row r="150">
      <x:c r="A150" s="29" t="str">
        <x:v>AUR-0146</x:v>
      </x:c>
      <x:c r="B150" s="29" t="str">
        <x:v>liability</x:v>
      </x:c>
      <x:c r="C150" s="29" t="str">
        <x:v>wholesale_funding</x:v>
      </x:c>
      <x:c r="D150" s="29" t="str">
        <x:v>EUR</x:v>
      </x:c>
      <x:c r="E150" s="31" t="n">
        <x:v>26.204076</x:v>
      </x:c>
      <x:c r="F150" s="31" t="n">
        <x:v>55.5061</x:v>
      </x:c>
      <x:c r="G150" s="31" t="n">
        <x:v>1454.486053</x:v>
      </x:c>
      <x:c r="H150" s="29" t="str">
        <x:v>floating</x:v>
      </x:c>
      <x:c r="I150" s="32" t="n">
        <x:v>3.836958</x:v>
      </x:c>
      <x:c r="J150" s="32" t="n">
        <x:v>1.734486</x:v>
      </x:c>
      <x:c r="K150" s="32" t="n">
        <x:v>0.48625</x:v>
      </x:c>
      <x:c r="L150" s="32" t="str">
        <x:v>NONE</x:v>
      </x:c>
      <x:c r="M150" s="32" t="n">
        <x:v>0.5</x:v>
      </x:c>
      <x:c r="N150" s="32" t="n">
        <x:v>0</x:v>
      </x:c>
      <x:c r="O150" s="32" t="n">
        <x:v>30</x:v>
      </x:c>
      <x:c r="P150" s="29" t="n">
        <x:v>0</x:v>
      </x:c>
      <x:c r="Q150" s="29" t="str">
        <x:v>deterministic_synthetic_bank_position</x:v>
      </x:c>
    </x:row>
    <x:row r="151">
      <x:c r="A151" s="29" t="str">
        <x:v>AUR-0147</x:v>
      </x:c>
      <x:c r="B151" s="29" t="str">
        <x:v>liability</x:v>
      </x:c>
      <x:c r="C151" s="29" t="str">
        <x:v>wholesale_funding</x:v>
      </x:c>
      <x:c r="D151" s="29" t="str">
        <x:v>EUR</x:v>
      </x:c>
      <x:c r="E151" s="31" t="n">
        <x:v>11.288046</x:v>
      </x:c>
      <x:c r="F151" s="31" t="n">
        <x:v>55.5061</x:v>
      </x:c>
      <x:c r="G151" s="31" t="n">
        <x:v>626.555385</x:v>
      </x:c>
      <x:c r="H151" s="29" t="str">
        <x:v>floating</x:v>
      </x:c>
      <x:c r="I151" s="32" t="n">
        <x:v>5.286987</x:v>
      </x:c>
      <x:c r="J151" s="32" t="n">
        <x:v>1.421576</x:v>
      </x:c>
      <x:c r="K151" s="32" t="n">
        <x:v>0.316525</x:v>
      </x:c>
      <x:c r="L151" s="32" t="str">
        <x:v>NONE</x:v>
      </x:c>
      <x:c r="M151" s="32" t="n">
        <x:v>0.5</x:v>
      </x:c>
      <x:c r="N151" s="32" t="n">
        <x:v>0</x:v>
      </x:c>
      <x:c r="O151" s="32" t="n">
        <x:v>30</x:v>
      </x:c>
      <x:c r="P151" s="29" t="n">
        <x:v>0</x:v>
      </x:c>
      <x:c r="Q151" s="29" t="str">
        <x:v>deterministic_synthetic_bank_position</x:v>
      </x:c>
    </x:row>
    <x:row r="152">
      <x:c r="A152" s="29" t="str">
        <x:v>AUR-0148</x:v>
      </x:c>
      <x:c r="B152" s="29" t="str">
        <x:v>liability</x:v>
      </x:c>
      <x:c r="C152" s="29" t="str">
        <x:v>wholesale_funding</x:v>
      </x:c>
      <x:c r="D152" s="29" t="str">
        <x:v>EUR</x:v>
      </x:c>
      <x:c r="E152" s="31" t="n">
        <x:v>16.555992</x:v>
      </x:c>
      <x:c r="F152" s="31" t="n">
        <x:v>55.5061</x:v>
      </x:c>
      <x:c r="G152" s="31" t="n">
        <x:v>918.958562</x:v>
      </x:c>
      <x:c r="H152" s="29" t="str">
        <x:v>floating</x:v>
      </x:c>
      <x:c r="I152" s="32" t="n">
        <x:v>3.522389</x:v>
      </x:c>
      <x:c r="J152" s="32" t="n">
        <x:v>0.623329</x:v>
      </x:c>
      <x:c r="K152" s="32" t="n">
        <x:v>0.29788</x:v>
      </x:c>
      <x:c r="L152" s="32" t="str">
        <x:v>NONE</x:v>
      </x:c>
      <x:c r="M152" s="32" t="n">
        <x:v>0.5</x:v>
      </x:c>
      <x:c r="N152" s="32" t="n">
        <x:v>0</x:v>
      </x:c>
      <x:c r="O152" s="32" t="n">
        <x:v>30</x:v>
      </x:c>
      <x:c r="P152" s="29" t="n">
        <x:v>0</x:v>
      </x:c>
      <x:c r="Q152" s="29" t="str">
        <x:v>deterministic_synthetic_bank_position</x:v>
      </x:c>
    </x:row>
    <x:row r="153">
      <x:c r="A153" s="29" t="str">
        <x:v>AUR-0149</x:v>
      </x:c>
      <x:c r="B153" s="29" t="str">
        <x:v>equity</x:v>
      </x:c>
      <x:c r="C153" s="29" t="str">
        <x:v>tier1_capital</x:v>
      </x:c>
      <x:c r="D153" s="29" t="str">
        <x:v>TRY</x:v>
      </x:c>
      <x:c r="E153" s="31" t="n">
        <x:v>22500</x:v>
      </x:c>
      <x:c r="F153" s="31" t="n">
        <x:v>1</x:v>
      </x:c>
      <x:c r="G153" s="31" t="n">
        <x:v>22500</x:v>
      </x:c>
      <x:c r="H153" s="29" t="str">
        <x:v>non_interest</x:v>
      </x:c>
      <x:c r="I153" s="32" t="n">
        <x:v>0</x:v>
      </x:c>
      <x:c r="J153" s="32" t="n">
        <x:v>25</x:v>
      </x:c>
      <x:c r="K153" s="32" t="n">
        <x:v>25</x:v>
      </x:c>
      <x:c r="L153" s="32" t="str">
        <x:v>NONE</x:v>
      </x:c>
      <x:c r="M153" s="32" t="n">
        <x:v>1</x:v>
      </x:c>
      <x:c r="N153" s="32" t="n">
        <x:v>0</x:v>
      </x:c>
      <x:c r="O153" s="32" t="n">
        <x:v>10000</x:v>
      </x:c>
      <x:c r="P153" s="29" t="n">
        <x:v>0</x:v>
      </x:c>
      <x:c r="Q153" s="29" t="str">
        <x:v>deterministic_synthetic_bank_position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4" t="str">
        <x:v>Repricing Gap by Currency and Time Bucket</x:v>
      </x:c>
      <x:c r="B1" s="4"/>
      <x:c r="C1" s="4"/>
      <x:c r="D1" s="4"/>
      <x:c r="E1" s="4"/>
      <x:c r="F1" s="4"/>
      <x:c r="G1" s="4"/>
    </x:row>
    <x:row r="2" ht="22" customHeight="1">
      <x:c r="A2" s="7" t="str">
        <x:v>Positive = asset sensitive | Negative = liability sensitive | TRY million</x:v>
      </x:c>
      <x:c r="B2" s="7"/>
      <x:c r="C2" s="7"/>
      <x:c r="D2" s="7"/>
      <x:c r="E2" s="7"/>
      <x:c r="F2" s="7"/>
      <x:c r="G2" s="7"/>
    </x:row>
    <x:row r="3">
      <x:c r="A3" s="1"/>
      <x:c r="B3" s="1"/>
      <x:c r="C3" s="1"/>
      <x:c r="D3" s="1"/>
      <x:c r="E3" s="1"/>
      <x:c r="F3" s="1"/>
      <x:c r="G3" s="1"/>
    </x:row>
    <x:row r="4" ht="28" customHeight="1">
      <x:c r="A4" s="24" t="str">
        <x:v>Currency</x:v>
      </x:c>
      <x:c r="B4" s="24" t="str">
        <x:v>Bucket</x:v>
      </x:c>
      <x:c r="C4" s="24" t="str">
        <x:v>Assets</x:v>
      </x:c>
      <x:c r="D4" s="24" t="str">
        <x:v>Liabilities</x:v>
      </x:c>
      <x:c r="E4" s="24" t="str">
        <x:v>Gap</x:v>
      </x:c>
      <x:c r="F4" s="24" t="str">
        <x:v>Cumulative gap</x:v>
      </x:c>
      <x:c r="G4" s="24" t="str">
        <x:v>Bucket order</x:v>
      </x:c>
    </x:row>
    <x:row r="5">
      <x:c r="A5" s="1" t="str">
        <x:v>EUR</x:v>
      </x:c>
      <x:c r="B5" s="1" t="str">
        <x:v>ON-1M</x:v>
      </x:c>
      <x:c r="C5" s="13" t="n">
        <x:v>2000</x:v>
      </x:c>
      <x:c r="D5" s="13" t="n">
        <x:v>0</x:v>
      </x:c>
      <x:c r="E5" s="13" t="n">
        <x:f>C5-D5</x:f>
        <x:v>2000</x:v>
      </x:c>
      <x:c r="F5" s="13" t="n">
        <x:f>E5</x:f>
        <x:v>2000</x:v>
      </x:c>
      <x:c r="G5" s="1" t="n">
        <x:v>1</x:v>
      </x:c>
    </x:row>
    <x:row r="6">
      <x:c r="A6" s="1" t="str">
        <x:v>EUR</x:v>
      </x:c>
      <x:c r="B6" s="1" t="str">
        <x:v>1M-3M</x:v>
      </x:c>
      <x:c r="C6" s="13" t="n">
        <x:v>1933.164998</x:v>
      </x:c>
      <x:c r="D6" s="13" t="n">
        <x:v>1058.534013</x:v>
      </x:c>
      <x:c r="E6" s="13" t="n">
        <x:f>C6-D6</x:f>
        <x:v>874.630985</x:v>
      </x:c>
      <x:c r="F6" s="13" t="n">
        <x:f>IF(A6=A5,F5+E6,E6)</x:f>
        <x:v>2874.630985</x:v>
      </x:c>
      <x:c r="G6" s="1" t="n">
        <x:v>2</x:v>
      </x:c>
    </x:row>
    <x:row r="7">
      <x:c r="A7" s="1" t="str">
        <x:v>EUR</x:v>
      </x:c>
      <x:c r="B7" s="1" t="str">
        <x:v>3M-6M</x:v>
      </x:c>
      <x:c r="C7" s="13" t="n">
        <x:v>5066.835002</x:v>
      </x:c>
      <x:c r="D7" s="13" t="n">
        <x:v>6564.597875</x:v>
      </x:c>
      <x:c r="E7" s="13" t="n">
        <x:f>C7-D7</x:f>
        <x:v>-1497.7628730000006</x:v>
      </x:c>
      <x:c r="F7" s="13" t="n">
        <x:f>IF(A7=A6,F6+E7,E7)</x:f>
        <x:v>1376.8681119999992</x:v>
      </x:c>
      <x:c r="G7" s="1" t="n">
        <x:v>3</x:v>
      </x:c>
    </x:row>
    <x:row r="8">
      <x:c r="A8" s="1" t="str">
        <x:v>EUR</x:v>
      </x:c>
      <x:c r="B8" s="1" t="str">
        <x:v>6M-9M</x:v>
      </x:c>
      <x:c r="C8" s="13" t="n">
        <x:v>0</x:v>
      </x:c>
      <x:c r="D8" s="13" t="n">
        <x:v>1926.035143</x:v>
      </x:c>
      <x:c r="E8" s="13" t="n">
        <x:f>C8-D8</x:f>
        <x:v>-1926.035143</x:v>
      </x:c>
      <x:c r="F8" s="13" t="n">
        <x:f>IF(A8=A7,F7+E8,E8)</x:f>
        <x:v>-549.1670310000009</x:v>
      </x:c>
      <x:c r="G8" s="1" t="n">
        <x:v>4</x:v>
      </x:c>
    </x:row>
    <x:row r="9">
      <x:c r="A9" s="1" t="str">
        <x:v>EUR</x:v>
      </x:c>
      <x:c r="B9" s="1" t="str">
        <x:v>9M-1Y</x:v>
      </x:c>
      <x:c r="C9" s="13" t="n">
        <x:v>0</x:v>
      </x:c>
      <x:c r="D9" s="13" t="n">
        <x:v>3950.832969</x:v>
      </x:c>
      <x:c r="E9" s="13" t="n">
        <x:f>C9-D9</x:f>
        <x:v>-3950.832969</x:v>
      </x:c>
      <x:c r="F9" s="13" t="n">
        <x:f>IF(A9=A8,F8+E9,E9)</x:f>
        <x:v>-4500.000000000001</x:v>
      </x:c>
      <x:c r="G9" s="1" t="n">
        <x:v>5</x:v>
      </x:c>
    </x:row>
    <x:row r="10">
      <x:c r="A10" s="1" t="str">
        <x:v>EUR</x:v>
      </x:c>
      <x:c r="B10" s="1" t="str">
        <x:v>2Y-3Y</x:v>
      </x:c>
      <x:c r="C10" s="13" t="n">
        <x:v>162.00693</x:v>
      </x:c>
      <x:c r="D10" s="13" t="n">
        <x:v>0</x:v>
      </x:c>
      <x:c r="E10" s="13" t="n">
        <x:f>C10-D10</x:f>
        <x:v>162.00693</x:v>
      </x:c>
      <x:c r="F10" s="13" t="n">
        <x:f>IF(A10=A9,F9+E10,E10)</x:f>
        <x:v>-4337.99307</x:v>
      </x:c>
      <x:c r="G10" s="1" t="n">
        <x:v>8</x:v>
      </x:c>
    </x:row>
    <x:row r="11">
      <x:c r="A11" s="1" t="str">
        <x:v>EUR</x:v>
      </x:c>
      <x:c r="B11" s="1" t="str">
        <x:v>3Y-4Y</x:v>
      </x:c>
      <x:c r="C11" s="13" t="n">
        <x:v>853.946666</x:v>
      </x:c>
      <x:c r="D11" s="13" t="n">
        <x:v>0</x:v>
      </x:c>
      <x:c r="E11" s="13" t="n">
        <x:f>C11-D11</x:f>
        <x:v>853.946666</x:v>
      </x:c>
      <x:c r="F11" s="13" t="n">
        <x:f>IF(A11=A10,F10+E11,E11)</x:f>
        <x:v>-3484.0464040000006</x:v>
      </x:c>
      <x:c r="G11" s="1" t="n">
        <x:v>9</x:v>
      </x:c>
    </x:row>
    <x:row r="12">
      <x:c r="A12" s="1" t="str">
        <x:v>EUR</x:v>
      </x:c>
      <x:c r="B12" s="1" t="str">
        <x:v>6Y-7Y</x:v>
      </x:c>
      <x:c r="C12" s="13" t="n">
        <x:v>1984.046404</x:v>
      </x:c>
      <x:c r="D12" s="13" t="n">
        <x:v>0</x:v>
      </x:c>
      <x:c r="E12" s="13" t="n">
        <x:f>C12-D12</x:f>
        <x:v>1984.046404</x:v>
      </x:c>
      <x:c r="F12" s="13" t="n">
        <x:f>IF(A12=A11,F11+E12,E12)</x:f>
        <x:v>-1500.0000000000007</x:v>
      </x:c>
      <x:c r="G12" s="1" t="n">
        <x:v>12</x:v>
      </x:c>
    </x:row>
    <x:row r="13">
      <x:c r="A13" s="1" t="str">
        <x:v>TRY</x:v>
      </x:c>
      <x:c r="B13" s="1" t="str">
        <x:v>ON-1M</x:v>
      </x:c>
      <x:c r="C13" s="13" t="n">
        <x:v>12000</x:v>
      </x:c>
      <x:c r="D13" s="13" t="n">
        <x:v>11126.02697</x:v>
      </x:c>
      <x:c r="E13" s="13" t="n">
        <x:f>C13-D13</x:f>
        <x:v>873.9730299999992</x:v>
      </x:c>
      <x:c r="F13" s="13" t="n">
        <x:f>IF(A13=A12,F12+E13,E13)</x:f>
        <x:v>873.9730299999992</x:v>
      </x:c>
      <x:c r="G13" s="1" t="n">
        <x:v>1</x:v>
      </x:c>
    </x:row>
    <x:row r="14">
      <x:c r="A14" s="1" t="str">
        <x:v>TRY</x:v>
      </x:c>
      <x:c r="B14" s="1" t="str">
        <x:v>1M-3M</x:v>
      </x:c>
      <x:c r="C14" s="13" t="n">
        <x:v>32448.61971</x:v>
      </x:c>
      <x:c r="D14" s="13" t="n">
        <x:v>47718.28409</x:v>
      </x:c>
      <x:c r="E14" s="13" t="n">
        <x:f>C14-D14</x:f>
        <x:v>-15269.664380000002</x:v>
      </x:c>
      <x:c r="F14" s="13" t="n">
        <x:f>IF(A14=A13,F13+E14,E14)</x:f>
        <x:v>-14395.691350000003</x:v>
      </x:c>
      <x:c r="G14" s="1" t="n">
        <x:v>2</x:v>
      </x:c>
    </x:row>
    <x:row r="15">
      <x:c r="A15" s="1" t="str">
        <x:v>TRY</x:v>
      </x:c>
      <x:c r="B15" s="1" t="str">
        <x:v>3M-6M</x:v>
      </x:c>
      <x:c r="C15" s="13" t="n">
        <x:v>28551.38029</x:v>
      </x:c>
      <x:c r="D15" s="13" t="n">
        <x:v>27079.410264</x:v>
      </x:c>
      <x:c r="E15" s="13" t="n">
        <x:f>C15-D15</x:f>
        <x:v>1471.9700260000027</x:v>
      </x:c>
      <x:c r="F15" s="13" t="n">
        <x:f>IF(A15=A14,F14+E15,E15)</x:f>
        <x:v>-12923.721324</x:v>
      </x:c>
      <x:c r="G15" s="1" t="n">
        <x:v>3</x:v>
      </x:c>
    </x:row>
    <x:row r="16">
      <x:c r="A16" s="1" t="str">
        <x:v>TRY</x:v>
      </x:c>
      <x:c r="B16" s="1" t="str">
        <x:v>6M-9M</x:v>
      </x:c>
      <x:c r="C16" s="13" t="n">
        <x:v>0</x:v>
      </x:c>
      <x:c r="D16" s="13" t="n">
        <x:v>22417.504653</x:v>
      </x:c>
      <x:c r="E16" s="13" t="n">
        <x:f>C16-D16</x:f>
        <x:v>-22417.504653</x:v>
      </x:c>
      <x:c r="F16" s="13" t="n">
        <x:f>IF(A16=A15,F15+E16,E16)</x:f>
        <x:v>-35341.225977</x:v>
      </x:c>
      <x:c r="G16" s="1" t="n">
        <x:v>4</x:v>
      </x:c>
    </x:row>
    <x:row r="17">
      <x:c r="A17" s="1" t="str">
        <x:v>TRY</x:v>
      </x:c>
      <x:c r="B17" s="1" t="str">
        <x:v>9M-1Y</x:v>
      </x:c>
      <x:c r="C17" s="13" t="n">
        <x:v>0</x:v>
      </x:c>
      <x:c r="D17" s="13" t="n">
        <x:v>1658.774023</x:v>
      </x:c>
      <x:c r="E17" s="13" t="n">
        <x:f>C17-D17</x:f>
        <x:v>-1658.774023</x:v>
      </x:c>
      <x:c r="F17" s="13" t="n">
        <x:f>IF(A17=A16,F16+E17,E17)</x:f>
        <x:v>-37000</x:v>
      </x:c>
      <x:c r="G17" s="1" t="n">
        <x:v>5</x:v>
      </x:c>
    </x:row>
    <x:row r="18">
      <x:c r="A18" s="1" t="str">
        <x:v>TRY</x:v>
      </x:c>
      <x:c r="B18" s="1" t="str">
        <x:v>1Y-1.5Y</x:v>
      </x:c>
      <x:c r="C18" s="13" t="n">
        <x:v>1520.825309</x:v>
      </x:c>
      <x:c r="D18" s="13" t="n">
        <x:v>996.718815</x:v>
      </x:c>
      <x:c r="E18" s="13" t="n">
        <x:f>C18-D18</x:f>
        <x:v>524.1064940000001</x:v>
      </x:c>
      <x:c r="F18" s="13" t="n">
        <x:f>IF(A18=A17,F17+E18,E18)</x:f>
        <x:v>-36475.893506</x:v>
      </x:c>
      <x:c r="G18" s="1" t="n">
        <x:v>6</x:v>
      </x:c>
    </x:row>
    <x:row r="19">
      <x:c r="A19" s="1" t="str">
        <x:v>TRY</x:v>
      </x:c>
      <x:c r="B19" s="1" t="str">
        <x:v>1.5Y-2Y</x:v>
      </x:c>
      <x:c r="C19" s="13" t="n">
        <x:v>4082.365484</x:v>
      </x:c>
      <x:c r="D19" s="13" t="n">
        <x:v>2272.545453</x:v>
      </x:c>
      <x:c r="E19" s="13" t="n">
        <x:f>C19-D19</x:f>
        <x:v>1809.8200309999997</x:v>
      </x:c>
      <x:c r="F19" s="13" t="n">
        <x:f>IF(A19=A18,F18+E19,E19)</x:f>
        <x:v>-34666.073475</x:v>
      </x:c>
      <x:c r="G19" s="1" t="n">
        <x:v>7</x:v>
      </x:c>
    </x:row>
    <x:row r="20">
      <x:c r="A20" s="1" t="str">
        <x:v>TRY</x:v>
      </x:c>
      <x:c r="B20" s="1" t="str">
        <x:v>2Y-3Y</x:v>
      </x:c>
      <x:c r="C20" s="13" t="n">
        <x:v>4372.298045</x:v>
      </x:c>
      <x:c r="D20" s="13" t="n">
        <x:v>0</x:v>
      </x:c>
      <x:c r="E20" s="13" t="n">
        <x:f>C20-D20</x:f>
        <x:v>4372.298045</x:v>
      </x:c>
      <x:c r="F20" s="13" t="n">
        <x:f>IF(A20=A19,F19+E20,E20)</x:f>
        <x:v>-30293.775429999998</x:v>
      </x:c>
      <x:c r="G20" s="1" t="n">
        <x:v>8</x:v>
      </x:c>
    </x:row>
    <x:row r="21">
      <x:c r="A21" s="1" t="str">
        <x:v>TRY</x:v>
      </x:c>
      <x:c r="B21" s="1" t="str">
        <x:v>3Y-4Y</x:v>
      </x:c>
      <x:c r="C21" s="13" t="n">
        <x:v>18234.365567</x:v>
      </x:c>
      <x:c r="D21" s="13" t="n">
        <x:v>701.445736</x:v>
      </x:c>
      <x:c r="E21" s="13" t="n">
        <x:f>C21-D21</x:f>
        <x:v>17532.919831</x:v>
      </x:c>
      <x:c r="F21" s="13" t="n">
        <x:f>IF(A21=A20,F20+E21,E21)</x:f>
        <x:v>-12760.855598999999</x:v>
      </x:c>
      <x:c r="G21" s="1" t="n">
        <x:v>9</x:v>
      </x:c>
    </x:row>
    <x:row r="22">
      <x:c r="A22" s="1" t="str">
        <x:v>TRY</x:v>
      </x:c>
      <x:c r="B22" s="1" t="str">
        <x:v>4Y-5Y</x:v>
      </x:c>
      <x:c r="C22" s="13" t="n">
        <x:v>23469.40959</x:v>
      </x:c>
      <x:c r="D22" s="13" t="n">
        <x:v>5236.30536</x:v>
      </x:c>
      <x:c r="E22" s="13" t="n">
        <x:f>C22-D22</x:f>
        <x:v>18233.104229999997</x:v>
      </x:c>
      <x:c r="F22" s="13" t="n">
        <x:f>IF(A22=A21,F21+E22,E22)</x:f>
        <x:v>5472.248630999999</x:v>
      </x:c>
      <x:c r="G22" s="1" t="n">
        <x:v>10</x:v>
      </x:c>
    </x:row>
    <x:row r="23">
      <x:c r="A23" s="1" t="str">
        <x:v>TRY</x:v>
      </x:c>
      <x:c r="B23" s="1" t="str">
        <x:v>5Y-6Y</x:v>
      </x:c>
      <x:c r="C23" s="13" t="n">
        <x:v>0</x:v>
      </x:c>
      <x:c r="D23" s="13" t="n">
        <x:v>792.984636</x:v>
      </x:c>
      <x:c r="E23" s="13" t="n">
        <x:f>C23-D23</x:f>
        <x:v>-792.984636</x:v>
      </x:c>
      <x:c r="F23" s="13" t="n">
        <x:f>IF(A23=A22,F22+E23,E23)</x:f>
        <x:v>4679.263994999998</x:v>
      </x:c>
      <x:c r="G23" s="1" t="n">
        <x:v>11</x:v>
      </x:c>
    </x:row>
    <x:row r="24">
      <x:c r="A24" s="1" t="str">
        <x:v>TRY</x:v>
      </x:c>
      <x:c r="B24" s="1" t="str">
        <x:v>6Y-7Y</x:v>
      </x:c>
      <x:c r="C24" s="13" t="n">
        <x:v>6232.22957</x:v>
      </x:c>
      <x:c r="D24" s="13" t="n">
        <x:v>0</x:v>
      </x:c>
      <x:c r="E24" s="13" t="n">
        <x:f>C24-D24</x:f>
        <x:v>6232.22957</x:v>
      </x:c>
      <x:c r="F24" s="13" t="n">
        <x:f>IF(A24=A23,F23+E24,E24)</x:f>
        <x:v>10911.493564999999</x:v>
      </x:c>
      <x:c r="G24" s="1" t="n">
        <x:v>12</x:v>
      </x:c>
    </x:row>
    <x:row r="25">
      <x:c r="A25" s="1" t="str">
        <x:v>TRY</x:v>
      </x:c>
      <x:c r="B25" s="1" t="str">
        <x:v>7Y-8Y</x:v>
      </x:c>
      <x:c r="C25" s="13" t="n">
        <x:v>3225.518405</x:v>
      </x:c>
      <x:c r="D25" s="13" t="n">
        <x:v>0</x:v>
      </x:c>
      <x:c r="E25" s="13" t="n">
        <x:f>C25-D25</x:f>
        <x:v>3225.518405</x:v>
      </x:c>
      <x:c r="F25" s="13" t="n">
        <x:f>IF(A25=A24,F24+E25,E25)</x:f>
        <x:v>14137.01197</x:v>
      </x:c>
      <x:c r="G25" s="1" t="n">
        <x:v>13</x:v>
      </x:c>
    </x:row>
    <x:row r="26">
      <x:c r="A26" s="1" t="str">
        <x:v>TRY</x:v>
      </x:c>
      <x:c r="B26" s="1" t="str">
        <x:v>8Y-9Y</x:v>
      </x:c>
      <x:c r="C26" s="13" t="n">
        <x:v>11838.158645</x:v>
      </x:c>
      <x:c r="D26" s="13" t="n">
        <x:v>0</x:v>
      </x:c>
      <x:c r="E26" s="13" t="n">
        <x:f>C26-D26</x:f>
        <x:v>11838.158645</x:v>
      </x:c>
      <x:c r="F26" s="13" t="n">
        <x:f>IF(A26=A25,F25+E26,E26)</x:f>
        <x:v>25975.170615</x:v>
      </x:c>
      <x:c r="G26" s="1" t="n">
        <x:v>14</x:v>
      </x:c>
    </x:row>
    <x:row r="27">
      <x:c r="A27" s="1" t="str">
        <x:v>TRY</x:v>
      </x:c>
      <x:c r="B27" s="1" t="str">
        <x:v>9Y-10Y</x:v>
      </x:c>
      <x:c r="C27" s="13" t="n">
        <x:v>4024.829385</x:v>
      </x:c>
      <x:c r="D27" s="13" t="n">
        <x:v>0</x:v>
      </x:c>
      <x:c r="E27" s="13" t="n">
        <x:f>C27-D27</x:f>
        <x:v>4024.829385</x:v>
      </x:c>
      <x:c r="F27" s="13" t="n">
        <x:f>IF(A27=A26,F26+E27,E27)</x:f>
        <x:v>30000</x:v>
      </x:c>
      <x:c r="G27" s="1" t="n">
        <x:v>15</x:v>
      </x:c>
    </x:row>
    <x:row r="28">
      <x:c r="A28" s="1" t="str">
        <x:v>USD</x:v>
      </x:c>
      <x:c r="B28" s="1" t="str">
        <x:v>ON-1M</x:v>
      </x:c>
      <x:c r="C28" s="13" t="n">
        <x:v>3000</x:v>
      </x:c>
      <x:c r="D28" s="13" t="n">
        <x:v>0</x:v>
      </x:c>
      <x:c r="E28" s="13" t="n">
        <x:f>C28-D28</x:f>
        <x:v>3000</x:v>
      </x:c>
      <x:c r="F28" s="13" t="n">
        <x:f>IF(A28=A27,F27+E28,E28)</x:f>
        <x:v>3000</x:v>
      </x:c>
      <x:c r="G28" s="1" t="n">
        <x:v>1</x:v>
      </x:c>
    </x:row>
    <x:row r="29">
      <x:c r="A29" s="1" t="str">
        <x:v>USD</x:v>
      </x:c>
      <x:c r="B29" s="1" t="str">
        <x:v>1M-3M</x:v>
      </x:c>
      <x:c r="C29" s="13" t="n">
        <x:v>0</x:v>
      </x:c>
      <x:c r="D29" s="13" t="n">
        <x:v>5844.991326</x:v>
      </x:c>
      <x:c r="E29" s="13" t="n">
        <x:f>C29-D29</x:f>
        <x:v>-5844.991326</x:v>
      </x:c>
      <x:c r="F29" s="13" t="n">
        <x:f>IF(A29=A28,F28+E29,E29)</x:f>
        <x:v>-2844.9913260000003</x:v>
      </x:c>
      <x:c r="G29" s="1" t="n">
        <x:v>2</x:v>
      </x:c>
    </x:row>
    <x:row r="30">
      <x:c r="A30" s="1" t="str">
        <x:v>USD</x:v>
      </x:c>
      <x:c r="B30" s="1" t="str">
        <x:v>3M-6M</x:v>
      </x:c>
      <x:c r="C30" s="13" t="n">
        <x:v>11000</x:v>
      </x:c>
      <x:c r="D30" s="13" t="n">
        <x:v>12533.436449</x:v>
      </x:c>
      <x:c r="E30" s="13" t="n">
        <x:f>C30-D30</x:f>
        <x:v>-1533.4364490000007</x:v>
      </x:c>
      <x:c r="F30" s="13" t="n">
        <x:f>IF(A30=A29,F29+E30,E30)</x:f>
        <x:v>-4378.427775000001</x:v>
      </x:c>
      <x:c r="G30" s="1" t="n">
        <x:v>3</x:v>
      </x:c>
    </x:row>
    <x:row r="31">
      <x:c r="A31" s="1" t="str">
        <x:v>USD</x:v>
      </x:c>
      <x:c r="B31" s="1" t="str">
        <x:v>6M-9M</x:v>
      </x:c>
      <x:c r="C31" s="13" t="n">
        <x:v>0</x:v>
      </x:c>
      <x:c r="D31" s="13" t="n">
        <x:v>729.838115</x:v>
      </x:c>
      <x:c r="E31" s="13" t="n">
        <x:f>C31-D31</x:f>
        <x:v>-729.838115</x:v>
      </x:c>
      <x:c r="F31" s="13" t="n">
        <x:f>IF(A31=A30,F30+E31,E31)</x:f>
        <x:v>-5108.265890000001</x:v>
      </x:c>
      <x:c r="G31" s="1" t="n">
        <x:v>4</x:v>
      </x:c>
    </x:row>
    <x:row r="32">
      <x:c r="A32" s="1" t="str">
        <x:v>USD</x:v>
      </x:c>
      <x:c r="B32" s="1" t="str">
        <x:v>9M-1Y</x:v>
      </x:c>
      <x:c r="C32" s="13" t="n">
        <x:v>0</x:v>
      </x:c>
      <x:c r="D32" s="13" t="n">
        <x:v>4891.73411</x:v>
      </x:c>
      <x:c r="E32" s="13" t="n">
        <x:f>C32-D32</x:f>
        <x:v>-4891.73411</x:v>
      </x:c>
      <x:c r="F32" s="13" t="n">
        <x:f>IF(A32=A31,F31+E32,E32)</x:f>
        <x:v>-10000</x:v>
      </x:c>
      <x:c r="G32" s="1" t="n">
        <x:v>5</x:v>
      </x:c>
    </x:row>
    <x:row r="33">
      <x:c r="A33" s="1" t="str">
        <x:v>USD</x:v>
      </x:c>
      <x:c r="B33" s="1" t="str">
        <x:v>1Y-1.5Y</x:v>
      </x:c>
      <x:c r="C33" s="13" t="n">
        <x:v>1453.307298</x:v>
      </x:c>
      <x:c r="D33" s="13" t="n">
        <x:v>0</x:v>
      </x:c>
      <x:c r="E33" s="13" t="n">
        <x:f>C33-D33</x:f>
        <x:v>1453.307298</x:v>
      </x:c>
      <x:c r="F33" s="13" t="n">
        <x:f>IF(A33=A32,F32+E33,E33)</x:f>
        <x:v>-8546.692702</x:v>
      </x:c>
      <x:c r="G33" s="1" t="n">
        <x:v>6</x:v>
      </x:c>
    </x:row>
    <x:row r="34">
      <x:c r="A34" s="1" t="str">
        <x:v>USD</x:v>
      </x:c>
      <x:c r="B34" s="1" t="str">
        <x:v>5Y-6Y</x:v>
      </x:c>
      <x:c r="C34" s="13" t="n">
        <x:v>543.324154</x:v>
      </x:c>
      <x:c r="D34" s="13" t="n">
        <x:v>0</x:v>
      </x:c>
      <x:c r="E34" s="13" t="n">
        <x:f>C34-D34</x:f>
        <x:v>543.324154</x:v>
      </x:c>
      <x:c r="F34" s="13" t="n">
        <x:f>IF(A34=A33,F33+E34,E34)</x:f>
        <x:v>-8003.368548</x:v>
      </x:c>
      <x:c r="G34" s="1" t="n">
        <x:v>11</x:v>
      </x:c>
    </x:row>
    <x:row r="35">
      <x:c r="A35" s="1" t="str">
        <x:v>USD</x:v>
      </x:c>
      <x:c r="B35" s="1" t="str">
        <x:v>6Y-7Y</x:v>
      </x:c>
      <x:c r="C35" s="13" t="n">
        <x:v>2003.368548</x:v>
      </x:c>
      <x:c r="D35" s="13" t="n">
        <x:v>0</x:v>
      </x:c>
      <x:c r="E35" s="13" t="n">
        <x:f>C35-D35</x:f>
        <x:v>2003.368548</x:v>
      </x:c>
      <x:c r="F35" s="13" t="n">
        <x:f>IF(A35=A34,F34+E35,E35)</x:f>
        <x:v>-6000</x:v>
      </x:c>
      <x:c r="G35" s="1" t="n">
        <x:v>12</x:v>
      </x:c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mergeCells>
    <x:mergeCell ref="A1:G1"/>
    <x:mergeCell ref="A2:G2"/>
  </x:mergeCells>
  <x:conditionalFormatting sqref="E5:F35">
    <x:cfRule type="colorScale" priority="1">
      <x:colorScale>
        <x:cfvo type="min"/>
        <x:cfvo type="percentile" val="50"/>
        <x:cfvo type="max"/>
        <x:color rgb="FFFCA5A5"/>
        <x:color rgb="FFFFFFFF"/>
        <x:color rgb="FF67E8F9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21" hidden="0" customWidth="1"/>
    <x:col min="9" max="9" width="17" hidden="0" customWidth="1"/>
    <x:col min="10" max="10" width="17" hidden="0" customWidth="1"/>
  </x:cols>
  <x:sheetData>
    <x:row r="1" ht="32" customHeight="1">
      <x:c r="A1" s="4" t="str">
        <x:v>IRRBB Economic Value Sensitivity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7" t="str">
        <x:v>Six Basel scenarios | Adverse loss is measured against Tier 1 capital | TRY million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47" t="str">
        <x:v>Worst adverse EVE loss / Tier 1</x:v>
      </x:c>
      <x:c r="B4" s="48"/>
      <x:c r="C4" s="49" t="n">
        <x:f>-MIN(J6:J11)</x:f>
        <x:v>0.13743893711111127</x:v>
      </x:c>
      <x:c r="D4" s="1"/>
      <x:c r="E4" s="1"/>
      <x:c r="F4" s="1"/>
      <x:c r="G4" s="1"/>
      <x:c r="H4" s="9" t="str">
        <x:v>Total bank scenario summary</x:v>
      </x:c>
      <x:c r="I4" s="9"/>
      <x:c r="J4" s="9"/>
      <x:c r="K4" s="9"/>
    </x:row>
    <x:row r="5" ht="28" customHeight="1">
      <x:c r="A5" s="1"/>
      <x:c r="B5" s="1"/>
      <x:c r="C5" s="1"/>
      <x:c r="D5" s="1"/>
      <x:c r="E5" s="1"/>
      <x:c r="F5" s="1"/>
      <x:c r="G5" s="1"/>
      <x:c r="H5" s="24" t="str">
        <x:v>Scenario</x:v>
      </x:c>
      <x:c r="I5" s="24" t="str">
        <x:v>Delta EVE</x:v>
      </x:c>
      <x:c r="J5" s="24" t="str">
        <x:v>Delta / Tier 1</x:v>
      </x:c>
      <x:c r="K5" s="1"/>
    </x:row>
    <x:row r="6">
      <x:c r="A6" s="1"/>
      <x:c r="B6" s="1"/>
      <x:c r="C6" s="1"/>
      <x:c r="D6" s="1"/>
      <x:c r="E6" s="1"/>
      <x:c r="F6" s="1"/>
      <x:c r="G6" s="1"/>
      <x:c r="H6" s="1" t="str">
        <x:v>parallel_up</x:v>
      </x:c>
      <x:c r="I6" s="13" t="n">
        <x:f>E11</x:f>
        <x:v>-3092.3760850000035</x:v>
      </x:c>
      <x:c r="J6" s="42" t="n">
        <x:f>F11</x:f>
        <x:v>-0.13743893711111127</x:v>
      </x:c>
      <x:c r="K6" s="1"/>
    </x:row>
    <x:row r="7" ht="28" customHeight="1">
      <x:c r="A7" s="24" t="str">
        <x:v>Scenario</x:v>
      </x:c>
      <x:c r="B7" s="24" t="str">
        <x:v>Currency</x:v>
      </x:c>
      <x:c r="C7" s="24" t="str">
        <x:v>Baseline EVE</x:v>
      </x:c>
      <x:c r="D7" s="24" t="str">
        <x:v>Shocked EVE</x:v>
      </x:c>
      <x:c r="E7" s="24" t="str">
        <x:v>Delta EVE</x:v>
      </x:c>
      <x:c r="F7" s="24" t="str">
        <x:v>Delta EVE / Tier 1</x:v>
      </x:c>
      <x:c r="G7" s="1"/>
      <x:c r="H7" s="1" t="str">
        <x:v>parallel_down</x:v>
      </x:c>
      <x:c r="I7" s="13" t="n">
        <x:f>E15</x:f>
        <x:v>3658.5116899999994</x:v>
      </x:c>
      <x:c r="J7" s="42" t="n">
        <x:f>F15</x:f>
        <x:v>0.16260051955555552</x:v>
      </x:c>
      <x:c r="K7" s="1"/>
    </x:row>
    <x:row r="8">
      <x:c r="A8" s="1" t="str">
        <x:v>parallel_up</x:v>
      </x:c>
      <x:c r="B8" s="1" t="str">
        <x:v>EUR</x:v>
      </x:c>
      <x:c r="C8" s="13" t="n">
        <x:v>-1149.148792</x:v>
      </x:c>
      <x:c r="D8" s="13" t="n">
        <x:v>-1213.873976</x:v>
      </x:c>
      <x:c r="E8" s="13" t="n">
        <x:f>D8-C8</x:f>
        <x:v>-64.72518400000013</x:v>
      </x:c>
      <x:c r="F8" s="41" t="n">
        <x:f>E8/Assumptions!$B$10</x:f>
        <x:v>-0.00287667484444445</x:v>
      </x:c>
      <x:c r="G8" s="1"/>
      <x:c r="H8" s="1" t="str">
        <x:v>steepener</x:v>
      </x:c>
      <x:c r="I8" s="13" t="n">
        <x:f>E19</x:f>
        <x:v>-574.5688130000053</x:v>
      </x:c>
      <x:c r="J8" s="42" t="n">
        <x:f>F19</x:f>
        <x:v>-0.025536391688889125</x:v>
      </x:c>
      <x:c r="K8" s="1"/>
    </x:row>
    <x:row r="9">
      <x:c r="A9" s="1" t="str">
        <x:v>parallel_up</x:v>
      </x:c>
      <x:c r="B9" s="1" t="str">
        <x:v>TRY</x:v>
      </x:c>
      <x:c r="C9" s="13" t="n">
        <x:v>43821.68554</x:v>
      </x:c>
      <x:c r="D9" s="13" t="n">
        <x:v>40760.618607</x:v>
      </x:c>
      <x:c r="E9" s="13" t="n">
        <x:f>D9-C9</x:f>
        <x:v>-3061.066933000002</x:v>
      </x:c>
      <x:c r="F9" s="41" t="n">
        <x:f>E9/Assumptions!$B$10</x:f>
        <x:v>-0.13604741924444452</x:v>
      </x:c>
      <x:c r="G9" s="1"/>
      <x:c r="H9" s="1" t="str">
        <x:v>flattener</x:v>
      </x:c>
      <x:c r="I9" s="13" t="n">
        <x:f>E23</x:f>
        <x:v>-96.98068100000091</x:v>
      </x:c>
      <x:c r="J9" s="42" t="n">
        <x:f>F23</x:f>
        <x:v>-0.00431025248888893</x:v>
      </x:c>
      <x:c r="K9" s="1"/>
    </x:row>
    <x:row r="10">
      <x:c r="A10" s="1" t="str">
        <x:v>parallel_up</x:v>
      </x:c>
      <x:c r="B10" s="1" t="str">
        <x:v>USD</x:v>
      </x:c>
      <x:c r="C10" s="13" t="n">
        <x:v>-5281.342317</x:v>
      </x:c>
      <x:c r="D10" s="13" t="n">
        <x:v>-5247.926285</x:v>
      </x:c>
      <x:c r="E10" s="13" t="n">
        <x:f>D10-C10</x:f>
        <x:v>33.41603200000009</x:v>
      </x:c>
      <x:c r="F10" s="41" t="n">
        <x:f>E10/Assumptions!$B$10</x:f>
        <x:v>0.0014851569777777815</x:v>
      </x:c>
      <x:c r="G10" s="1"/>
      <x:c r="H10" s="1" t="str">
        <x:v>short_up</x:v>
      </x:c>
      <x:c r="I10" s="13" t="n">
        <x:f>E27</x:f>
        <x:v>-1362.5024140000023</x:v>
      </x:c>
      <x:c r="J10" s="42" t="n">
        <x:f>F27</x:f>
        <x:v>-0.060555662844444545</x:v>
      </x:c>
      <x:c r="K10" s="1"/>
    </x:row>
    <x:row r="11">
      <x:c r="A11" s="1" t="str">
        <x:v>parallel_up</x:v>
      </x:c>
      <x:c r="B11" s="1" t="str">
        <x:v>TOTAL</x:v>
      </x:c>
      <x:c r="C11" s="13" t="n">
        <x:v>37391.19443</x:v>
      </x:c>
      <x:c r="D11" s="13" t="n">
        <x:v>34298.818345</x:v>
      </x:c>
      <x:c r="E11" s="13" t="n">
        <x:f>D11-C11</x:f>
        <x:v>-3092.3760850000035</x:v>
      </x:c>
      <x:c r="F11" s="41" t="n">
        <x:f>E11/Assumptions!$B$10</x:f>
        <x:v>-0.13743893711111127</x:v>
      </x:c>
      <x:c r="G11" s="1"/>
      <x:c r="H11" s="1" t="str">
        <x:v>short_down</x:v>
      </x:c>
      <x:c r="I11" s="13" t="n">
        <x:f>E31</x:f>
        <x:v>1462.7598829999988</x:v>
      </x:c>
      <x:c r="J11" s="42" t="n">
        <x:f>F31</x:f>
        <x:v>0.0650115503555555</x:v>
      </x:c>
      <x:c r="K11" s="1"/>
    </x:row>
    <x:row r="12">
      <x:c r="A12" s="1" t="str">
        <x:v>parallel_down</x:v>
      </x:c>
      <x:c r="B12" s="1" t="str">
        <x:v>EUR</x:v>
      </x:c>
      <x:c r="C12" s="13" t="n">
        <x:v>-1149.148792</x:v>
      </x:c>
      <x:c r="D12" s="13" t="n">
        <x:v>-1053.644648</x:v>
      </x:c>
      <x:c r="E12" s="13" t="n">
        <x:f>D12-C12</x:f>
        <x:v>95.504144</x:v>
      </x:c>
      <x:c r="F12" s="41" t="n">
        <x:f>E12/Assumptions!$B$10</x:f>
        <x:v>0.004244628622222222</x:v>
      </x:c>
      <x:c r="G12" s="1"/>
      <x:c r="H12" s="1"/>
      <x:c r="I12" s="1"/>
      <x:c r="J12" s="1"/>
      <x:c r="K12" s="1"/>
    </x:row>
    <x:row r="13">
      <x:c r="A13" s="1" t="str">
        <x:v>parallel_down</x:v>
      </x:c>
      <x:c r="B13" s="1" t="str">
        <x:v>TRY</x:v>
      </x:c>
      <x:c r="C13" s="13" t="n">
        <x:v>43821.68554</x:v>
      </x:c>
      <x:c r="D13" s="13" t="n">
        <x:v>47402.339089</x:v>
      </x:c>
      <x:c r="E13" s="13" t="n">
        <x:f>D13-C13</x:f>
        <x:v>3580.6535490000024</x:v>
      </x:c>
      <x:c r="F13" s="41" t="n">
        <x:f>E13/Assumptions!$B$10</x:f>
        <x:v>0.15914015773333343</x:v>
      </x:c>
      <x:c r="G13" s="1"/>
      <x:c r="H13" s="1"/>
      <x:c r="I13" s="1"/>
      <x:c r="J13" s="1"/>
      <x:c r="K13" s="1"/>
    </x:row>
    <x:row r="14">
      <x:c r="A14" s="1" t="str">
        <x:v>parallel_down</x:v>
      </x:c>
      <x:c r="B14" s="1" t="str">
        <x:v>USD</x:v>
      </x:c>
      <x:c r="C14" s="13" t="n">
        <x:v>-5281.342317</x:v>
      </x:c>
      <x:c r="D14" s="13" t="n">
        <x:v>-5298.988321</x:v>
      </x:c>
      <x:c r="E14" s="13" t="n">
        <x:f>D14-C14</x:f>
        <x:v>-17.646004000000175</x:v>
      </x:c>
      <x:c r="F14" s="41" t="n">
        <x:f>E14/Assumptions!$B$10</x:f>
        <x:v>-0.0007842668444444522</x:v>
      </x:c>
      <x:c r="G14" s="1"/>
      <x:c r="H14" s="1"/>
      <x:c r="I14" s="1"/>
      <x:c r="J14" s="1"/>
      <x:c r="K14" s="1"/>
    </x:row>
    <x:row r="15">
      <x:c r="A15" s="1" t="str">
        <x:v>parallel_down</x:v>
      </x:c>
      <x:c r="B15" s="1" t="str">
        <x:v>TOTAL</x:v>
      </x:c>
      <x:c r="C15" s="13" t="n">
        <x:v>37391.19443</x:v>
      </x:c>
      <x:c r="D15" s="13" t="n">
        <x:v>41049.70612</x:v>
      </x:c>
      <x:c r="E15" s="13" t="n">
        <x:f>D15-C15</x:f>
        <x:v>3658.5116899999994</x:v>
      </x:c>
      <x:c r="F15" s="41" t="n">
        <x:f>E15/Assumptions!$B$10</x:f>
        <x:v>0.16260051955555552</x:v>
      </x:c>
      <x:c r="G15" s="1"/>
      <x:c r="H15" s="1"/>
      <x:c r="I15" s="1"/>
      <x:c r="J15" s="1"/>
      <x:c r="K15" s="1"/>
    </x:row>
    <x:row r="16">
      <x:c r="A16" s="1" t="str">
        <x:v>steepener</x:v>
      </x:c>
      <x:c r="B16" s="1" t="str">
        <x:v>EUR</x:v>
      </x:c>
      <x:c r="C16" s="13" t="n">
        <x:v>-1149.148792</x:v>
      </x:c>
      <x:c r="D16" s="13" t="n">
        <x:v>-1328.119466</x:v>
      </x:c>
      <x:c r="E16" s="13" t="n">
        <x:f>D16-C16</x:f>
        <x:v>-178.97067400000014</x:v>
      </x:c>
      <x:c r="F16" s="41" t="n">
        <x:f>E16/Assumptions!$B$10</x:f>
        <x:v>-0.007954252177777784</x:v>
      </x:c>
      <x:c r="G16" s="1"/>
      <x:c r="H16" s="1"/>
      <x:c r="I16" s="1"/>
      <x:c r="J16" s="1"/>
      <x:c r="K16" s="1"/>
    </x:row>
    <x:row r="17">
      <x:c r="A17" s="1" t="str">
        <x:v>steepener</x:v>
      </x:c>
      <x:c r="B17" s="1" t="str">
        <x:v>TRY</x:v>
      </x:c>
      <x:c r="C17" s="13" t="n">
        <x:v>43821.68554</x:v>
      </x:c>
      <x:c r="D17" s="13" t="n">
        <x:v>43602.028001</x:v>
      </x:c>
      <x:c r="E17" s="13" t="n">
        <x:f>D17-C17</x:f>
        <x:v>-219.65753899999982</x:v>
      </x:c>
      <x:c r="F17" s="41" t="n">
        <x:f>E17/Assumptions!$B$10</x:f>
        <x:v>-0.009762557288888881</x:v>
      </x:c>
      <x:c r="G17" s="1"/>
      <x:c r="H17" s="1"/>
      <x:c r="I17" s="1"/>
      <x:c r="J17" s="1"/>
      <x:c r="K17" s="1"/>
    </x:row>
    <x:row r="18">
      <x:c r="A18" s="1" t="str">
        <x:v>steepener</x:v>
      </x:c>
      <x:c r="B18" s="1" t="str">
        <x:v>USD</x:v>
      </x:c>
      <x:c r="C18" s="13" t="n">
        <x:v>-5281.342317</x:v>
      </x:c>
      <x:c r="D18" s="13" t="n">
        <x:v>-5457.282918</x:v>
      </x:c>
      <x:c r="E18" s="13" t="n">
        <x:f>D18-C18</x:f>
        <x:v>-175.94060100000024</x:v>
      </x:c>
      <x:c r="F18" s="41" t="n">
        <x:f>E18/Assumptions!$B$10</x:f>
        <x:v>-0.007819582266666677</x:v>
      </x:c>
      <x:c r="G18" s="1"/>
      <x:c r="H18" s="1"/>
      <x:c r="I18" s="1"/>
      <x:c r="J18" s="1"/>
      <x:c r="K18" s="1"/>
    </x:row>
    <x:row r="19">
      <x:c r="A19" s="1" t="str">
        <x:v>steepener</x:v>
      </x:c>
      <x:c r="B19" s="1" t="str">
        <x:v>TOTAL</x:v>
      </x:c>
      <x:c r="C19" s="13" t="n">
        <x:v>37391.19443</x:v>
      </x:c>
      <x:c r="D19" s="13" t="n">
        <x:v>36816.625617</x:v>
      </x:c>
      <x:c r="E19" s="13" t="n">
        <x:f>D19-C19</x:f>
        <x:v>-574.5688130000053</x:v>
      </x:c>
      <x:c r="F19" s="41" t="n">
        <x:f>E19/Assumptions!$B$10</x:f>
        <x:v>-0.025536391688889125</x:v>
      </x:c>
      <x:c r="G19" s="1"/>
      <x:c r="H19" s="1"/>
      <x:c r="I19" s="1"/>
      <x:c r="J19" s="1"/>
      <x:c r="K19" s="1"/>
    </x:row>
    <x:row r="20">
      <x:c r="A20" s="1" t="str">
        <x:v>flattener</x:v>
      </x:c>
      <x:c r="B20" s="1" t="str">
        <x:v>EUR</x:v>
      </x:c>
      <x:c r="C20" s="13" t="n">
        <x:v>-1149.148792</x:v>
      </x:c>
      <x:c r="D20" s="13" t="n">
        <x:v>-991.903948</x:v>
      </x:c>
      <x:c r="E20" s="13" t="n">
        <x:f>D20-C20</x:f>
        <x:v>157.24484399999994</x:v>
      </x:c>
      <x:c r="F20" s="41" t="n">
        <x:f>E20/Assumptions!$B$10</x:f>
        <x:v>0.006988659733333331</x:v>
      </x:c>
      <x:c r="G20" s="1"/>
      <x:c r="H20" s="1"/>
      <x:c r="I20" s="1"/>
      <x:c r="J20" s="1"/>
      <x:c r="K20" s="1"/>
    </x:row>
    <x:row r="21">
      <x:c r="A21" s="1" t="str">
        <x:v>flattener</x:v>
      </x:c>
      <x:c r="B21" s="1" t="str">
        <x:v>TRY</x:v>
      </x:c>
      <x:c r="C21" s="13" t="n">
        <x:v>43821.68554</x:v>
      </x:c>
      <x:c r="D21" s="13" t="n">
        <x:v>43390.244002</x:v>
      </x:c>
      <x:c r="E21" s="13" t="n">
        <x:f>D21-C21</x:f>
        <x:v>-431.4415379999991</x:v>
      </x:c>
      <x:c r="F21" s="41" t="n">
        <x:f>E21/Assumptions!$B$10</x:f>
        <x:v>-0.01917517946666663</x:v>
      </x:c>
      <x:c r="G21" s="1"/>
      <x:c r="H21" s="1"/>
      <x:c r="I21" s="1"/>
      <x:c r="J21" s="1"/>
      <x:c r="K21" s="1"/>
    </x:row>
    <x:row r="22">
      <x:c r="A22" s="1" t="str">
        <x:v>flattener</x:v>
      </x:c>
      <x:c r="B22" s="1" t="str">
        <x:v>USD</x:v>
      </x:c>
      <x:c r="C22" s="13" t="n">
        <x:v>-5281.342317</x:v>
      </x:c>
      <x:c r="D22" s="13" t="n">
        <x:v>-5104.126305</x:v>
      </x:c>
      <x:c r="E22" s="13" t="n">
        <x:f>D22-C22</x:f>
        <x:v>177.21601199999986</x:v>
      </x:c>
      <x:c r="F22" s="41" t="n">
        <x:f>E22/Assumptions!$B$10</x:f>
        <x:v>0.007876267199999993</x:v>
      </x:c>
      <x:c r="G22" s="1"/>
      <x:c r="H22" s="1"/>
      <x:c r="I22" s="1"/>
      <x:c r="J22" s="1"/>
      <x:c r="K22" s="1"/>
    </x:row>
    <x:row r="23">
      <x:c r="A23" s="1" t="str">
        <x:v>flattener</x:v>
      </x:c>
      <x:c r="B23" s="1" t="str">
        <x:v>TOTAL</x:v>
      </x:c>
      <x:c r="C23" s="13" t="n">
        <x:v>37391.19443</x:v>
      </x:c>
      <x:c r="D23" s="13" t="n">
        <x:v>37294.213749</x:v>
      </x:c>
      <x:c r="E23" s="13" t="n">
        <x:f>D23-C23</x:f>
        <x:v>-96.98068100000091</x:v>
      </x:c>
      <x:c r="F23" s="41" t="n">
        <x:f>E23/Assumptions!$B$10</x:f>
        <x:v>-0.00431025248888893</x:v>
      </x:c>
      <x:c r="G23" s="1"/>
      <x:c r="H23" s="1"/>
      <x:c r="I23" s="1"/>
      <x:c r="J23" s="1"/>
      <x:c r="K23" s="1"/>
    </x:row>
    <x:row r="24">
      <x:c r="A24" s="1" t="str">
        <x:v>short_up</x:v>
      </x:c>
      <x:c r="B24" s="1" t="str">
        <x:v>EUR</x:v>
      </x:c>
      <x:c r="C24" s="13" t="n">
        <x:v>-1149.148792</x:v>
      </x:c>
      <x:c r="D24" s="13" t="n">
        <x:v>-1050.120364</x:v>
      </x:c>
      <x:c r="E24" s="13" t="n">
        <x:f>D24-C24</x:f>
        <x:v>99.02842799999985</x:v>
      </x:c>
      <x:c r="F24" s="41" t="n">
        <x:f>E24/Assumptions!$B$10</x:f>
        <x:v>0.00440126346666666</x:v>
      </x:c>
      <x:c r="G24" s="1"/>
      <x:c r="H24" s="1"/>
      <x:c r="I24" s="1"/>
      <x:c r="J24" s="1"/>
      <x:c r="K24" s="1"/>
    </x:row>
    <x:row r="25">
      <x:c r="A25" s="1" t="str">
        <x:v>short_up</x:v>
      </x:c>
      <x:c r="B25" s="1" t="str">
        <x:v>TRY</x:v>
      </x:c>
      <x:c r="C25" s="13" t="n">
        <x:v>43821.68554</x:v>
      </x:c>
      <x:c r="D25" s="13" t="n">
        <x:v>42207.77773</x:v>
      </x:c>
      <x:c r="E25" s="13" t="n">
        <x:f>D25-C25</x:f>
        <x:v>-1613.907809999997</x:v>
      </x:c>
      <x:c r="F25" s="41" t="n">
        <x:f>E25/Assumptions!$B$10</x:f>
        <x:v>-0.07172923599999986</x:v>
      </x:c>
      <x:c r="G25" s="1"/>
      <x:c r="H25" s="1"/>
      <x:c r="I25" s="1"/>
      <x:c r="J25" s="1"/>
      <x:c r="K25" s="1"/>
    </x:row>
    <x:row r="26">
      <x:c r="A26" s="1" t="str">
        <x:v>short_up</x:v>
      </x:c>
      <x:c r="B26" s="1" t="str">
        <x:v>USD</x:v>
      </x:c>
      <x:c r="C26" s="13" t="n">
        <x:v>-5281.342317</x:v>
      </x:c>
      <x:c r="D26" s="13" t="n">
        <x:v>-5128.965351</x:v>
      </x:c>
      <x:c r="E26" s="13" t="n">
        <x:f>D26-C26</x:f>
        <x:v>152.3769659999998</x:v>
      </x:c>
      <x:c r="F26" s="41" t="n">
        <x:f>E26/Assumptions!$B$10</x:f>
        <x:v>0.006772309599999991</x:v>
      </x:c>
      <x:c r="G26" s="1"/>
      <x:c r="H26" s="1"/>
      <x:c r="I26" s="1"/>
      <x:c r="J26" s="1"/>
      <x:c r="K26" s="1"/>
    </x:row>
    <x:row r="27">
      <x:c r="A27" s="1" t="str">
        <x:v>short_up</x:v>
      </x:c>
      <x:c r="B27" s="1" t="str">
        <x:v>TOTAL</x:v>
      </x:c>
      <x:c r="C27" s="13" t="n">
        <x:v>37391.19443</x:v>
      </x:c>
      <x:c r="D27" s="13" t="n">
        <x:v>36028.692016</x:v>
      </x:c>
      <x:c r="E27" s="13" t="n">
        <x:f>D27-C27</x:f>
        <x:v>-1362.5024140000023</x:v>
      </x:c>
      <x:c r="F27" s="41" t="n">
        <x:f>E27/Assumptions!$B$10</x:f>
        <x:v>-0.060555662844444545</x:v>
      </x:c>
      <x:c r="G27" s="1"/>
      <x:c r="H27" s="1"/>
      <x:c r="I27" s="1"/>
      <x:c r="J27" s="1"/>
      <x:c r="K27" s="1"/>
    </x:row>
    <x:row r="28">
      <x:c r="A28" s="1" t="str">
        <x:v>short_down</x:v>
      </x:c>
      <x:c r="B28" s="1" t="str">
        <x:v>EUR</x:v>
      </x:c>
      <x:c r="C28" s="13" t="n">
        <x:v>-1149.148792</x:v>
      </x:c>
      <x:c r="D28" s="13" t="n">
        <x:v>-1249.227774</x:v>
      </x:c>
      <x:c r="E28" s="13" t="n">
        <x:f>D28-C28</x:f>
        <x:v>-100.078982</x:v>
      </x:c>
      <x:c r="F28" s="41" t="n">
        <x:f>E28/Assumptions!$B$10</x:f>
        <x:v>-0.004447954755555555</x:v>
      </x:c>
      <x:c r="G28" s="1"/>
      <x:c r="H28" s="1"/>
      <x:c r="I28" s="1"/>
      <x:c r="J28" s="1"/>
      <x:c r="K28" s="1"/>
    </x:row>
    <x:row r="29">
      <x:c r="A29" s="1" t="str">
        <x:v>short_down</x:v>
      </x:c>
      <x:c r="B29" s="1" t="str">
        <x:v>TRY</x:v>
      </x:c>
      <x:c r="C29" s="13" t="n">
        <x:v>43821.68554</x:v>
      </x:c>
      <x:c r="D29" s="13" t="n">
        <x:v>45544.540137</x:v>
      </x:c>
      <x:c r="E29" s="13" t="n">
        <x:f>D29-C29</x:f>
        <x:v>1722.854597000005</x:v>
      </x:c>
      <x:c r="F29" s="41" t="n">
        <x:f>E29/Assumptions!$B$10</x:f>
        <x:v>0.07657131542222244</x:v>
      </x:c>
      <x:c r="G29" s="1"/>
      <x:c r="H29" s="1"/>
      <x:c r="I29" s="1"/>
      <x:c r="J29" s="1"/>
      <x:c r="K29" s="1"/>
    </x:row>
    <x:row r="30">
      <x:c r="A30" s="1" t="str">
        <x:v>short_down</x:v>
      </x:c>
      <x:c r="B30" s="1" t="str">
        <x:v>USD</x:v>
      </x:c>
      <x:c r="C30" s="13" t="n">
        <x:v>-5281.342317</x:v>
      </x:c>
      <x:c r="D30" s="13" t="n">
        <x:v>-5441.35805</x:v>
      </x:c>
      <x:c r="E30" s="13" t="n">
        <x:f>D30-C30</x:f>
        <x:v>-160.01573300000018</x:v>
      </x:c>
      <x:c r="F30" s="41" t="n">
        <x:f>E30/Assumptions!$B$10</x:f>
        <x:v>-0.007111810355555564</x:v>
      </x:c>
      <x:c r="G30" s="1"/>
      <x:c r="H30" s="1"/>
      <x:c r="I30" s="1"/>
      <x:c r="J30" s="1"/>
      <x:c r="K30" s="1"/>
    </x:row>
    <x:row r="31">
      <x:c r="A31" s="1" t="str">
        <x:v>short_down</x:v>
      </x:c>
      <x:c r="B31" s="1" t="str">
        <x:v>TOTAL</x:v>
      </x:c>
      <x:c r="C31" s="13" t="n">
        <x:v>37391.19443</x:v>
      </x:c>
      <x:c r="D31" s="13" t="n">
        <x:v>38853.954313</x:v>
      </x:c>
      <x:c r="E31" s="13" t="n">
        <x:f>D31-C31</x:f>
        <x:v>1462.7598829999988</x:v>
      </x:c>
      <x:c r="F31" s="41" t="n">
        <x:f>E31/Assumptions!$B$10</x:f>
        <x:v>0.0650115503555555</x:v>
      </x:c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K1"/>
    <x:mergeCell ref="A2:K2"/>
    <x:mergeCell ref="H4:K4"/>
    <x:mergeCell ref="A4:B4"/>
  </x:mergeCells>
  <x:pageMargins left="0.7" right="0.7" top="0.75" bottom="0.75" header="0.3" footer="0.3"/>
  <x:drawing xmlns:r="http://schemas.openxmlformats.org/officeDocument/2006/relationships" r:id="R40f6aec535884b7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4" t="str">
        <x:v>12-Month Net Interest Income Sensitivity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Parallel up/down shocks with non-maturity deposit beta assumptions | TRY million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3" t="str">
        <x:v>Maximum absolute Delta NII</x:v>
      </x:c>
      <x:c r="B4" s="54"/>
      <x:c r="C4" s="55" t="n">
        <x:f>MAX(ABS(E7),ABS(E8))</x:f>
        <x:v>0.058133649698356125</x:v>
      </x:c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24" t="str">
        <x:v>Scenario</x:v>
      </x:c>
      <x:c r="B6" s="24" t="str">
        <x:v>Baseline NII</x:v>
      </x:c>
      <x:c r="C6" s="24" t="str">
        <x:v>Shocked NII</x:v>
      </x:c>
      <x:c r="D6" s="24" t="str">
        <x:v>Delta NII</x:v>
      </x:c>
      <x:c r="E6" s="24" t="str">
        <x:v>Delta NII %</x:v>
      </x:c>
      <x:c r="F6" s="1"/>
      <x:c r="G6" s="1"/>
      <x:c r="H6" s="1"/>
    </x:row>
    <x:row r="7">
      <x:c r="A7" s="1" t="str">
        <x:v>parallel_up</x:v>
      </x:c>
      <x:c r="B7" s="13" t="n">
        <x:v>22791.428095</x:v>
      </x:c>
      <x:c r="C7" s="13" t="n">
        <x:v>24116.376992</x:v>
      </x:c>
      <x:c r="D7" s="13" t="n">
        <x:f>C7-B7</x:f>
        <x:v>1324.948897000002</x:v>
      </x:c>
      <x:c r="E7" s="42" t="n">
        <x:f>D7/B7</x:f>
        <x:v>0.058133649698356125</x:v>
      </x:c>
      <x:c r="F7" s="1"/>
      <x:c r="G7" s="1"/>
      <x:c r="H7" s="1"/>
    </x:row>
    <x:row r="8">
      <x:c r="A8" s="1" t="str">
        <x:v>parallel_down</x:v>
      </x:c>
      <x:c r="B8" s="13" t="n">
        <x:v>22791.428095</x:v>
      </x:c>
      <x:c r="C8" s="13" t="n">
        <x:v>21466.479198</x:v>
      </x:c>
      <x:c r="D8" s="13" t="n">
        <x:f>C8-B8</x:f>
        <x:v>-1324.9488969999984</x:v>
      </x:c>
      <x:c r="E8" s="42" t="n">
        <x:f>D8/B8</x:f>
        <x:v>-0.058133649698355966</x:v>
      </x:c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mergeCells>
    <x:mergeCell ref="A1:H1"/>
    <x:mergeCell ref="A2:H2"/>
    <x:mergeCell ref="A4:B4"/>
  </x:mergeCells>
  <x:pageMargins left="0.7" right="0.7" top="0.75" bottom="0.75" header="0.3" footer="0.3"/>
  <x:drawing xmlns:r="http://schemas.openxmlformats.org/officeDocument/2006/relationships" r:id="R55524bdc7679446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4" t="str">
        <x:v>Liquidity Stress and Structural Funding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"/>
      <x:c r="N1" s="1"/>
      <x:c r="O1" s="1"/>
    </x:row>
    <x:row r="2" ht="22" customHeight="1">
      <x:c r="A2" s="7" t="str">
        <x:v>Five governed management scenarios including a severe rapid digital run; not a regulatory return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61" t="str">
        <x:v>Combined stress LCR proxy</x:v>
      </x:c>
      <x:c r="B4" s="62"/>
      <x:c r="C4" s="63" t="n">
        <x:f>H11</x:f>
        <x:v>0.9483364199501884</x:v>
      </x:c>
      <x:c r="D4" s="1"/>
      <x:c r="E4" s="66" t="str">
        <x:v>Combined survival horizon</x:v>
      </x:c>
      <x:c r="F4" s="67"/>
      <x:c r="G4" s="68" t="n">
        <x:f>I11</x:f>
        <x:v>30</x:v>
      </x:c>
      <x:c r="H4" s="1"/>
      <x:c r="I4" s="79" t="str">
        <x:v>Rapid-run LCR proxy</x:v>
      </x:c>
      <x:c r="J4" s="80"/>
      <x:c r="K4" s="81" t="n">
        <x:f>H12</x:f>
        <x:v>0.7809151560078172</x:v>
      </x:c>
      <x:c r="L4" s="82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83" t="str">
        <x:v>Rapid-run survival</x:v>
      </x:c>
      <x:c r="J5" s="84"/>
      <x:c r="K5" s="85" t="n">
        <x:f>I12</x:f>
        <x:v>7</x:v>
      </x:c>
      <x:c r="L5" s="86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8" customHeight="1">
      <x:c r="A7" s="24" t="str">
        <x:v>Scenario</x:v>
      </x:c>
      <x:c r="B7" s="24" t="str">
        <x:v>Base HQLA</x:v>
      </x:c>
      <x:c r="C7" s="24" t="str">
        <x:v>Stressed HQLA</x:v>
      </x:c>
      <x:c r="D7" s="24" t="str">
        <x:v>HQLA MV loss</x:v>
      </x:c>
      <x:c r="E7" s="24" t="str">
        <x:v>Gross outflows 30d</x:v>
      </x:c>
      <x:c r="F7" s="24" t="str">
        <x:v>Eligible inflows 30d</x:v>
      </x:c>
      <x:c r="G7" s="24" t="str">
        <x:v>Net outflows 30d</x:v>
      </x:c>
      <x:c r="H7" s="24" t="str">
        <x:v>LCR proxy</x:v>
      </x:c>
      <x:c r="I7" s="24" t="str">
        <x:v>Survival days</x:v>
      </x:c>
      <x:c r="J7" s="24" t="str">
        <x:v>ASF</x:v>
      </x:c>
      <x:c r="K7" s="24" t="str">
        <x:v>RSF</x:v>
      </x:c>
      <x:c r="L7" s="24" t="str">
        <x:v>NSFR proxy</x:v>
      </x:c>
      <x:c r="M7" s="1"/>
      <x:c r="N7" s="1" t="str">
        <x:v>Scenario</x:v>
      </x:c>
      <x:c r="O7" s="1" t="str">
        <x:v>LCR proxy</x:v>
      </x:c>
    </x:row>
    <x:row r="8">
      <x:c r="A8" s="1" t="str">
        <x:v>base</x:v>
      </x:c>
      <x:c r="B8" s="13" t="n">
        <x:v>59400</x:v>
      </x:c>
      <x:c r="C8" s="13" t="n">
        <x:v>59400</x:v>
      </x:c>
      <x:c r="D8" s="13" t="n">
        <x:f>B8-C8</x:f>
        <x:v>0</x:v>
      </x:c>
      <x:c r="E8" s="13" t="n">
        <x:v>37424</x:v>
      </x:c>
      <x:c r="F8" s="13" t="n">
        <x:v>0</x:v>
      </x:c>
      <x:c r="G8" s="13" t="n">
        <x:f>E8-MIN(F8,E8*75%)</x:f>
        <x:v>37424</x:v>
      </x:c>
      <x:c r="H8" s="11" t="n">
        <x:f>C8/G8</x:f>
        <x:v>1.5872167592988458</x:v>
      </x:c>
      <x:c r="I8" s="1" t="n">
        <x:v>365</x:v>
      </x:c>
      <x:c r="J8" s="13" t="n">
        <x:v>150450</x:v>
      </x:c>
      <x:c r="K8" s="13" t="n">
        <x:v>104950</x:v>
      </x:c>
      <x:c r="L8" s="11" t="n">
        <x:f>J8/K8</x:f>
        <x:v>1.4335397808480228</x:v>
      </x:c>
      <x:c r="M8" s="1"/>
      <x:c r="N8" s="1" t="str">
        <x:f>A8</x:f>
        <x:v>base</x:v>
      </x:c>
      <x:c r="O8" s="1" t="n">
        <x:f>H8</x:f>
        <x:v>1.5872167592988458</x:v>
      </x:c>
    </x:row>
    <x:row r="9">
      <x:c r="A9" s="1" t="str">
        <x:v>idiosyncratic</x:v>
      </x:c>
      <x:c r="B9" s="13" t="n">
        <x:v>59400</x:v>
      </x:c>
      <x:c r="C9" s="13" t="n">
        <x:v>59400</x:v>
      </x:c>
      <x:c r="D9" s="13" t="n">
        <x:f>B9-C9</x:f>
        <x:v>0</x:v>
      </x:c>
      <x:c r="E9" s="13" t="n">
        <x:v>49410</x:v>
      </x:c>
      <x:c r="F9" s="13" t="n">
        <x:v>0</x:v>
      </x:c>
      <x:c r="G9" s="13" t="n">
        <x:f>E9-MIN(F9,E9*75%)</x:f>
        <x:v>49410</x:v>
      </x:c>
      <x:c r="H9" s="11" t="n">
        <x:f>C9/G9</x:f>
        <x:v>1.2021857923497268</x:v>
      </x:c>
      <x:c r="I9" s="1" t="n">
        <x:v>365</x:v>
      </x:c>
      <x:c r="J9" s="13" t="n">
        <x:v>150450</x:v>
      </x:c>
      <x:c r="K9" s="13" t="n">
        <x:v>104950</x:v>
      </x:c>
      <x:c r="L9" s="11" t="n">
        <x:f>J9/K9</x:f>
        <x:v>1.4335397808480228</x:v>
      </x:c>
      <x:c r="M9" s="1"/>
      <x:c r="N9" s="1" t="str">
        <x:f>A9</x:f>
        <x:v>idiosyncratic</x:v>
      </x:c>
      <x:c r="O9" s="1" t="n">
        <x:f>H9</x:f>
        <x:v>1.2021857923497268</x:v>
      </x:c>
    </x:row>
    <x:row r="10">
      <x:c r="A10" s="1" t="str">
        <x:v>market_wide</x:v>
      </x:c>
      <x:c r="B10" s="13" t="n">
        <x:v>59400</x:v>
      </x:c>
      <x:c r="C10" s="13" t="n">
        <x:v>59400</x:v>
      </x:c>
      <x:c r="D10" s="13" t="n">
        <x:f>B10-C10</x:f>
        <x:v>0</x:v>
      </x:c>
      <x:c r="E10" s="13" t="n">
        <x:v>43028</x:v>
      </x:c>
      <x:c r="F10" s="13" t="n">
        <x:v>0</x:v>
      </x:c>
      <x:c r="G10" s="13" t="n">
        <x:f>E10-MIN(F10,E10*75%)</x:f>
        <x:v>43028</x:v>
      </x:c>
      <x:c r="H10" s="11" t="n">
        <x:f>C10/G10</x:f>
        <x:v>1.380496420935205</x:v>
      </x:c>
      <x:c r="I10" s="1" t="n">
        <x:v>365</x:v>
      </x:c>
      <x:c r="J10" s="13" t="n">
        <x:v>150450</x:v>
      </x:c>
      <x:c r="K10" s="13" t="n">
        <x:v>104950</x:v>
      </x:c>
      <x:c r="L10" s="11" t="n">
        <x:f>J10/K10</x:f>
        <x:v>1.4335397808480228</x:v>
      </x:c>
      <x:c r="M10" s="1"/>
      <x:c r="N10" s="1" t="str">
        <x:f>A10</x:f>
        <x:v>market_wide</x:v>
      </x:c>
      <x:c r="O10" s="1" t="n">
        <x:f>H10</x:f>
        <x:v>1.380496420935205</x:v>
      </x:c>
    </x:row>
    <x:row r="11">
      <x:c r="A11" s="1" t="str">
        <x:v>combined</x:v>
      </x:c>
      <x:c r="B11" s="13" t="n">
        <x:v>59400</x:v>
      </x:c>
      <x:c r="C11" s="13" t="n">
        <x:v>59400</x:v>
      </x:c>
      <x:c r="D11" s="13" t="n">
        <x:f>B11-C11</x:f>
        <x:v>0</x:v>
      </x:c>
      <x:c r="E11" s="13" t="n">
        <x:v>62636</x:v>
      </x:c>
      <x:c r="F11" s="13" t="n">
        <x:v>0</x:v>
      </x:c>
      <x:c r="G11" s="13" t="n">
        <x:f>E11-MIN(F11,E11*75%)</x:f>
        <x:v>62636</x:v>
      </x:c>
      <x:c r="H11" s="11" t="n">
        <x:f>C11/G11</x:f>
        <x:v>0.9483364199501884</x:v>
      </x:c>
      <x:c r="I11" s="1" t="n">
        <x:v>30</x:v>
      </x:c>
      <x:c r="J11" s="13" t="n">
        <x:v>150450</x:v>
      </x:c>
      <x:c r="K11" s="13" t="n">
        <x:v>104950</x:v>
      </x:c>
      <x:c r="L11" s="11" t="n">
        <x:f>J11/K11</x:f>
        <x:v>1.4335397808480228</x:v>
      </x:c>
      <x:c r="M11" s="1"/>
      <x:c r="N11" s="1" t="str">
        <x:f>A11</x:f>
        <x:v>combined</x:v>
      </x:c>
      <x:c r="O11" s="1" t="n">
        <x:f>H11</x:f>
        <x:v>0.9483364199501884</x:v>
      </x:c>
    </x:row>
    <x:row r="12">
      <x:c r="A12" s="1" t="str">
        <x:v>rapid_digital_run</x:v>
      </x:c>
      <x:c r="B12" s="13" t="n">
        <x:v>59400</x:v>
      </x:c>
      <x:c r="C12" s="13" t="n">
        <x:v>57940</x:v>
      </x:c>
      <x:c r="D12" s="13" t="n">
        <x:f>B12-C12</x:f>
        <x:v>1460</x:v>
      </x:c>
      <x:c r="E12" s="13" t="n">
        <x:v>74195</x:v>
      </x:c>
      <x:c r="F12" s="13" t="n">
        <x:v>0</x:v>
      </x:c>
      <x:c r="G12" s="13" t="n">
        <x:f>E12-MIN(F12,E12*75%)</x:f>
        <x:v>74195</x:v>
      </x:c>
      <x:c r="H12" s="11" t="n">
        <x:f>C12/G12</x:f>
        <x:v>0.7809151560078172</x:v>
      </x:c>
      <x:c r="I12" s="1" t="n">
        <x:v>7</x:v>
      </x:c>
      <x:c r="J12" s="13" t="n">
        <x:v>150450</x:v>
      </x:c>
      <x:c r="K12" s="13" t="n">
        <x:v>104950</x:v>
      </x:c>
      <x:c r="L12" s="11" t="n">
        <x:f>J12/K12</x:f>
        <x:v>1.4335397808480228</x:v>
      </x:c>
      <x:c r="M12" s="1"/>
      <x:c r="N12" s="1" t="str">
        <x:f>A12</x:f>
        <x:v>rapid_digital_run</x:v>
      </x:c>
      <x:c r="O12" s="1" t="n">
        <x:f>H12</x:f>
        <x:v>0.7809151560078172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</x:sheetData>
  <x:mergeCells>
    <x:mergeCell ref="A1:L1"/>
    <x:mergeCell ref="A2:L2"/>
    <x:mergeCell ref="A4:B4"/>
    <x:mergeCell ref="E4:F4"/>
    <x:mergeCell ref="I4:J4"/>
    <x:mergeCell ref="K4:L4"/>
    <x:mergeCell ref="I5:J5"/>
    <x:mergeCell ref="K5:L5"/>
  </x:mergeCells>
  <x:pageMargins left="0.7" right="0.7" top="0.75" bottom="0.75" header="0.3" footer="0.3"/>
  <x:drawing xmlns:r="http://schemas.openxmlformats.org/officeDocument/2006/relationships" r:id="R21b4aebcef4941b2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</x:cols>
  <x:sheetData>
    <x:row r="1" ht="32" customHeight="1">
      <x:c r="A1" s="4" t="str">
        <x:v>FX Open Position and Hedge Overlay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7" t="str">
        <x:v>Exposure values are analytical recommendations only; every hedge requires ALCO review and execution controls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47" t="str">
        <x:v>Aggregate abs. FX open position / equity</x:v>
      </x:c>
      <x:c r="B4" s="48"/>
      <x:c r="C4" s="49" t="n">
        <x:f>SUM(E8:E9)</x:f>
        <x:v>0.3333333333333333</x:v>
      </x:c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28" customHeight="1">
      <x:c r="A7" s="24" t="str">
        <x:v>Currency</x:v>
      </x:c>
      <x:c r="B7" s="24" t="str">
        <x:v>Gross open position</x:v>
      </x:c>
      <x:c r="C7" s="24" t="str">
        <x:v>Hedge overlay</x:v>
      </x:c>
      <x:c r="D7" s="24" t="str">
        <x:v>Net open position</x:v>
      </x:c>
      <x:c r="E7" s="24" t="str">
        <x:v>Abs. position / equity</x:v>
      </x:c>
      <x:c r="F7" s="24" t="str">
        <x:v>FX -20% P&amp;L</x:v>
      </x:c>
      <x:c r="G7" s="24" t="str">
        <x:v>FX -10% P&amp;L</x:v>
      </x:c>
      <x:c r="H7" s="24" t="str">
        <x:v>FX +10% P&amp;L</x:v>
      </x:c>
      <x:c r="I7" s="24" t="str">
        <x:v>FX +20% P&amp;L</x:v>
      </x:c>
    </x:row>
    <x:row r="8">
      <x:c r="A8" s="1" t="str">
        <x:v>EUR</x:v>
      </x:c>
      <x:c r="B8" s="13" t="n">
        <x:v>-1500</x:v>
      </x:c>
      <x:c r="C8" s="13" t="n">
        <x:v>0</x:v>
      </x:c>
      <x:c r="D8" s="13" t="n">
        <x:f>B8+C8</x:f>
        <x:v>-1500</x:v>
      </x:c>
      <x:c r="E8" s="87" t="n">
        <x:f>ABS(D8)/Assumptions!$B$10</x:f>
        <x:v>0.06666666666666667</x:v>
      </x:c>
      <x:c r="F8" s="13" t="n">
        <x:f>D8*-20%</x:f>
        <x:v>300</x:v>
      </x:c>
      <x:c r="G8" s="13" t="n">
        <x:f>D8*-10%</x:f>
        <x:v>150</x:v>
      </x:c>
      <x:c r="H8" s="13" t="n">
        <x:f>D8*10%</x:f>
        <x:v>-150</x:v>
      </x:c>
      <x:c r="I8" s="13" t="n">
        <x:f>D8*20%</x:f>
        <x:v>-300</x:v>
      </x:c>
    </x:row>
    <x:row r="9">
      <x:c r="A9" s="1" t="str">
        <x:v>USD</x:v>
      </x:c>
      <x:c r="B9" s="13" t="n">
        <x:v>-6000</x:v>
      </x:c>
      <x:c r="C9" s="13" t="n">
        <x:v>0</x:v>
      </x:c>
      <x:c r="D9" s="13" t="n">
        <x:f>B9+C9</x:f>
        <x:v>-6000</x:v>
      </x:c>
      <x:c r="E9" s="87" t="n">
        <x:f>ABS(D9)/Assumptions!$B$10</x:f>
        <x:v>0.26666666666666666</x:v>
      </x:c>
      <x:c r="F9" s="13" t="n">
        <x:f>D9*-20%</x:f>
        <x:v>1200</x:v>
      </x:c>
      <x:c r="G9" s="13" t="n">
        <x:f>D9*-10%</x:f>
        <x:v>600</x:v>
      </x:c>
      <x:c r="H9" s="13" t="n">
        <x:f>D9*10%</x:f>
        <x:v>-600</x:v>
      </x:c>
      <x:c r="I9" s="13" t="n">
        <x:f>D9*20%</x:f>
        <x:v>-1200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22" customHeight="1">
      <x:c r="A13" s="9" t="str">
        <x:v>ALCO hedge candidates</x:v>
      </x:c>
      <x:c r="B13" s="9"/>
      <x:c r="C13" s="9"/>
      <x:c r="D13" s="9"/>
      <x:c r="E13" s="9"/>
      <x:c r="F13" s="9"/>
      <x:c r="G13" s="9"/>
      <x:c r="H13" s="9"/>
      <x:c r="I13" s="9"/>
    </x:row>
    <x:row r="14" ht="28" customHeight="1">
      <x:c r="A14" s="24" t="str">
        <x:v>risk_type</x:v>
      </x:c>
      <x:c r="B14" s="24" t="str">
        <x:v>currency</x:v>
      </x:c>
      <x:c r="C14" s="24" t="str">
        <x:v>instrument</x:v>
      </x:c>
      <x:c r="D14" s="24" t="str">
        <x:v>direction</x:v>
      </x:c>
      <x:c r="E14" s="24" t="str">
        <x:v>recommended_notional_try_mn</x:v>
      </x:c>
      <x:c r="F14" s="24" t="str">
        <x:v>pre_hedge_exposure</x:v>
      </x:c>
      <x:c r="G14" s="24" t="str">
        <x:v>target_post_hedge_exposure</x:v>
      </x:c>
      <x:c r="H14" s="24" t="str">
        <x:v>target_reduction_pct</x:v>
      </x:c>
      <x:c r="I14" s="24" t="str">
        <x:v>approval_status</x:v>
      </x:c>
    </x:row>
    <x:row r="15" ht="32" customHeight="1">
      <x:c r="A15" s="88" t="str">
        <x:v>IRRBB_DV01</x:v>
      </x:c>
      <x:c r="B15" s="88" t="str">
        <x:v>EUR</x:v>
      </x:c>
      <x:c r="C15" s="88" t="str">
        <x:v>plain_vanilla_interest_rate_swap</x:v>
      </x:c>
      <x:c r="D15" s="88" t="str">
        <x:v>PAY_FIXED_RECEIVE_FLOAT</x:v>
      </x:c>
      <x:c r="E15" s="89" t="n">
        <x:v>438.50875</x:v>
      </x:c>
      <x:c r="F15" s="89" t="n">
        <x:v>-0.350807</x:v>
      </x:c>
      <x:c r="G15" s="89" t="n">
        <x:v>-0.175404</x:v>
      </x:c>
      <x:c r="H15" s="89" t="n">
        <x:v>50</x:v>
      </x:c>
      <x:c r="I15" s="90" t="str">
        <x:v>ALCO_REVIEW_REQUIRED</x:v>
      </x:c>
    </x:row>
    <x:row r="16" ht="32" customHeight="1">
      <x:c r="A16" s="88" t="str">
        <x:v>IRRBB_DV01</x:v>
      </x:c>
      <x:c r="B16" s="88" t="str">
        <x:v>TRY</x:v>
      </x:c>
      <x:c r="C16" s="88" t="str">
        <x:v>plain_vanilla_interest_rate_swap</x:v>
      </x:c>
      <x:c r="D16" s="88" t="str">
        <x:v>PAY_FIXED_RECEIVE_FLOAT</x:v>
      </x:c>
      <x:c r="E16" s="89" t="n">
        <x:v>10316.64625</x:v>
      </x:c>
      <x:c r="F16" s="89" t="n">
        <x:v>-8.253317</x:v>
      </x:c>
      <x:c r="G16" s="89" t="n">
        <x:v>-4.126658</x:v>
      </x:c>
      <x:c r="H16" s="89" t="n">
        <x:v>50</x:v>
      </x:c>
      <x:c r="I16" s="90" t="str">
        <x:v>ALCO_REVIEW_REQUIRED</x:v>
      </x:c>
    </x:row>
    <x:row r="17" ht="32" customHeight="1">
      <x:c r="A17" s="88" t="str">
        <x:v>IRRBB_DV01</x:v>
      </x:c>
      <x:c r="B17" s="88" t="str">
        <x:v>USD</x:v>
      </x:c>
      <x:c r="C17" s="88" t="str">
        <x:v>plain_vanilla_interest_rate_swap</x:v>
      </x:c>
      <x:c r="D17" s="88" t="str">
        <x:v>RECEIVE_FIXED_PAY_FLOAT</x:v>
      </x:c>
      <x:c r="E17" s="89" t="n">
        <x:v>163.53</x:v>
      </x:c>
      <x:c r="F17" s="89" t="n">
        <x:v>0.130824</x:v>
      </x:c>
      <x:c r="G17" s="89" t="n">
        <x:v>0.065412</x:v>
      </x:c>
      <x:c r="H17" s="89" t="n">
        <x:v>50</x:v>
      </x:c>
      <x:c r="I17" s="90" t="str">
        <x:v>ALCO_REVIEW_REQUIRED</x:v>
      </x:c>
    </x:row>
    <x:row r="18" ht="32" customHeight="1">
      <x:c r="A18" s="88" t="str">
        <x:v>FX_OPEN_POSITION</x:v>
      </x:c>
      <x:c r="B18" s="88" t="str">
        <x:v>EUR</x:v>
      </x:c>
      <x:c r="C18" s="88" t="str">
        <x:v>fx_swap_or_forward</x:v>
      </x:c>
      <x:c r="D18" s="88" t="str">
        <x:v>BUY_FX_SELL_TRY</x:v>
      </x:c>
      <x:c r="E18" s="89" t="n">
        <x:v>1200</x:v>
      </x:c>
      <x:c r="F18" s="89" t="n">
        <x:v>-1500</x:v>
      </x:c>
      <x:c r="G18" s="89" t="n">
        <x:v>-300</x:v>
      </x:c>
      <x:c r="H18" s="89" t="n">
        <x:v>80</x:v>
      </x:c>
      <x:c r="I18" s="90" t="str">
        <x:v>ALCO_REVIEW_REQUIRED</x:v>
      </x:c>
    </x:row>
    <x:row r="19" ht="32" customHeight="1">
      <x:c r="A19" s="88" t="str">
        <x:v>FX_OPEN_POSITION</x:v>
      </x:c>
      <x:c r="B19" s="88" t="str">
        <x:v>USD</x:v>
      </x:c>
      <x:c r="C19" s="88" t="str">
        <x:v>fx_swap_or_forward</x:v>
      </x:c>
      <x:c r="D19" s="88" t="str">
        <x:v>BUY_FX_SELL_TRY</x:v>
      </x:c>
      <x:c r="E19" s="89" t="n">
        <x:v>4800</x:v>
      </x:c>
      <x:c r="F19" s="89" t="n">
        <x:v>-6000</x:v>
      </x:c>
      <x:c r="G19" s="89" t="n">
        <x:v>-1200</x:v>
      </x:c>
      <x:c r="H19" s="89" t="n">
        <x:v>80</x:v>
      </x:c>
      <x:c r="I19" s="90" t="str">
        <x:v>ALCO_REVIEW_REQUIRED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</x:sheetData>
  <x:mergeCells>
    <x:mergeCell ref="A1:I1"/>
    <x:mergeCell ref="A2:I2"/>
    <x:mergeCell ref="A4:B4"/>
    <x:mergeCell ref="A13:I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12" hidden="0" customWidth="1"/>
    <x:col min="9" max="9" width="4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7" max="7" width="43" hidden="0" customWidth="1"/>
  </x:cols>
  <x:sheetData>
    <x:row r="1" ht="32" customHeight="1">
      <x:c r="A1" s="4" t="str">
        <x:v>Data Quality and Risk Limit Controls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7" t="str">
        <x:v>Model validity controls and business-risk flags are deliberately separated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9" t="str">
        <x:v>Data quality controls</x:v>
      </x:c>
      <x:c r="B4" s="9"/>
      <x:c r="C4" s="9"/>
      <x:c r="D4" s="9"/>
      <x:c r="E4" s="9"/>
      <x:c r="F4" s="9"/>
      <x:c r="G4" s="1"/>
      <x:c r="H4" s="9" t="str">
        <x:v>Risk appetite controls</x:v>
      </x:c>
      <x:c r="I4" s="9"/>
      <x:c r="J4" s="9"/>
      <x:c r="K4" s="9"/>
      <x:c r="L4" s="9"/>
      <x:c r="M4" s="9"/>
    </x:row>
    <x:row r="5" ht="28" customHeight="1">
      <x:c r="A5" s="24" t="str">
        <x:v>control_id</x:v>
      </x:c>
      <x:c r="B5" s="24" t="str">
        <x:v>control</x:v>
      </x:c>
      <x:c r="C5" s="24" t="str">
        <x:v>status</x:v>
      </x:c>
      <x:c r="D5" s="24" t="str">
        <x:v>observed</x:v>
      </x:c>
      <x:c r="E5" s="24" t="str">
        <x:v>threshold</x:v>
      </x:c>
      <x:c r="F5" s="24" t="str">
        <x:v>severity</x:v>
      </x:c>
      <x:c r="G5" s="1"/>
      <x:c r="H5" s="24" t="str">
        <x:v>control_id</x:v>
      </x:c>
      <x:c r="I5" s="24" t="str">
        <x:v>control</x:v>
      </x:c>
      <x:c r="J5" s="24" t="str">
        <x:v>status</x:v>
      </x:c>
      <x:c r="K5" s="24" t="str">
        <x:v>observed</x:v>
      </x:c>
      <x:c r="L5" s="24" t="str">
        <x:v>limit</x:v>
      </x:c>
      <x:c r="M5" s="24" t="str">
        <x:v>severity</x:v>
      </x:c>
    </x:row>
    <x:row r="6">
      <x:c r="A6" s="1" t="str">
        <x:v>DQ01</x:v>
      </x:c>
      <x:c r="B6" s="1" t="str">
        <x:v>position identifiers are unique</x:v>
      </x:c>
      <x:c r="C6" s="1" t="str">
        <x:v>PASS</x:v>
      </x:c>
      <x:c r="D6" s="1" t="n">
        <x:v>0</x:v>
      </x:c>
      <x:c r="E6" s="1" t="n">
        <x:v>0</x:v>
      </x:c>
      <x:c r="F6" s="1" t="str">
        <x:v>HIGH</x:v>
      </x:c>
      <x:c r="G6" s="1"/>
      <x:c r="H6" s="1" t="str">
        <x:v>RL01</x:v>
      </x:c>
      <x:c r="I6" s="1" t="str">
        <x:v>six prescribed EVE scenarios are present</x:v>
      </x:c>
      <x:c r="J6" s="1" t="str">
        <x:v>WITHIN_LIMIT</x:v>
      </x:c>
      <x:c r="K6" s="1" t="n">
        <x:v>6</x:v>
      </x:c>
      <x:c r="L6" s="1" t="n">
        <x:v>6</x:v>
      </x:c>
      <x:c r="M6" s="1" t="str">
        <x:v>HIGH</x:v>
      </x:c>
    </x:row>
    <x:row r="7">
      <x:c r="A7" s="1" t="str">
        <x:v>DQ02</x:v>
      </x:c>
      <x:c r="B7" s="1" t="str">
        <x:v>critical position fields are complete</x:v>
      </x:c>
      <x:c r="C7" s="1" t="str">
        <x:v>PASS</x:v>
      </x:c>
      <x:c r="D7" s="1" t="n">
        <x:v>0</x:v>
      </x:c>
      <x:c r="E7" s="1" t="n">
        <x:v>0</x:v>
      </x:c>
      <x:c r="F7" s="1" t="str">
        <x:v>HIGH</x:v>
      </x:c>
      <x:c r="G7" s="1"/>
      <x:c r="H7" s="1" t="str">
        <x:v>RL02</x:v>
      </x:c>
      <x:c r="I7" s="1" t="str">
        <x:v>maximum EVE decline / Tier 1</x:v>
      </x:c>
      <x:c r="J7" s="1" t="str">
        <x:v>WITHIN_LIMIT</x:v>
      </x:c>
      <x:c r="K7" s="1" t="n">
        <x:v>13.743894</x:v>
      </x:c>
      <x:c r="L7" s="1" t="n">
        <x:v>15</x:v>
      </x:c>
      <x:c r="M7" s="1" t="str">
        <x:v>HIGH</x:v>
      </x:c>
    </x:row>
    <x:row r="8">
      <x:c r="A8" s="1" t="str">
        <x:v>DQ03</x:v>
      </x:c>
      <x:c r="B8" s="1" t="str">
        <x:v>currencies are governed</x:v>
      </x:c>
      <x:c r="C8" s="1" t="str">
        <x:v>PASS</x:v>
      </x:c>
      <x:c r="D8" s="1" t="str">
        <x:v>none</x:v>
      </x:c>
      <x:c r="E8" s="1" t="str">
        <x:v>none</x:v>
      </x:c>
      <x:c r="F8" s="1" t="str">
        <x:v>HIGH</x:v>
      </x:c>
      <x:c r="G8" s="1"/>
      <x:c r="H8" s="1" t="str">
        <x:v>RL03</x:v>
      </x:c>
      <x:c r="I8" s="1" t="str">
        <x:v>absolute delta NII</x:v>
      </x:c>
      <x:c r="J8" s="1" t="str">
        <x:v>WITHIN_LIMIT</x:v>
      </x:c>
      <x:c r="K8" s="1" t="n">
        <x:v>5.813365</x:v>
      </x:c>
      <x:c r="L8" s="1" t="n">
        <x:v>12</x:v>
      </x:c>
      <x:c r="M8" s="1" t="str">
        <x:v>HIGH</x:v>
      </x:c>
    </x:row>
    <x:row r="9">
      <x:c r="A9" s="1" t="str">
        <x:v>DQ04</x:v>
      </x:c>
      <x:c r="B9" s="1" t="str">
        <x:v>balances are positive</x:v>
      </x:c>
      <x:c r="C9" s="1" t="str">
        <x:v>PASS</x:v>
      </x:c>
      <x:c r="D9" s="1" t="n">
        <x:v>120.075349</x:v>
      </x:c>
      <x:c r="E9" s="1" t="str">
        <x:v>&gt;0</x:v>
      </x:c>
      <x:c r="F9" s="1" t="str">
        <x:v>HIGH</x:v>
      </x:c>
      <x:c r="G9" s="1"/>
      <x:c r="H9" s="1" t="str">
        <x:v>RL04</x:v>
      </x:c>
      <x:c r="I9" s="1" t="str">
        <x:v>base LCR proxy</x:v>
      </x:c>
      <x:c r="J9" s="1" t="str">
        <x:v>WITHIN_LIMIT</x:v>
      </x:c>
      <x:c r="K9" s="1" t="n">
        <x:v>158.721676</x:v>
      </x:c>
      <x:c r="L9" s="1" t="n">
        <x:v>100</x:v>
      </x:c>
      <x:c r="M9" s="1" t="str">
        <x:v>HIGH</x:v>
      </x:c>
    </x:row>
    <x:row r="10">
      <x:c r="A10" s="1" t="str">
        <x:v>DQ05</x:v>
      </x:c>
      <x:c r="B10" s="1" t="str">
        <x:v>rates are non-negative</x:v>
      </x:c>
      <x:c r="C10" s="1" t="str">
        <x:v>PASS</x:v>
      </x:c>
      <x:c r="D10" s="1" t="n">
        <x:v>0</x:v>
      </x:c>
      <x:c r="E10" s="1" t="str">
        <x:v>&gt;=0</x:v>
      </x:c>
      <x:c r="F10" s="1" t="str">
        <x:v>HIGH</x:v>
      </x:c>
      <x:c r="G10" s="1"/>
      <x:c r="H10" s="1" t="str">
        <x:v>RL05</x:v>
      </x:c>
      <x:c r="I10" s="1" t="str">
        <x:v>NSFR proxy</x:v>
      </x:c>
      <x:c r="J10" s="1" t="str">
        <x:v>WITHIN_LIMIT</x:v>
      </x:c>
      <x:c r="K10" s="1" t="n">
        <x:v>143.353978</x:v>
      </x:c>
      <x:c r="L10" s="1" t="n">
        <x:v>100</x:v>
      </x:c>
      <x:c r="M10" s="1" t="str">
        <x:v>HIGH</x:v>
      </x:c>
    </x:row>
    <x:row r="11">
      <x:c r="A11" s="1" t="str">
        <x:v>DQ06</x:v>
      </x:c>
      <x:c r="B11" s="1" t="str">
        <x:v>repricing does not exceed maturity</x:v>
      </x:c>
      <x:c r="C11" s="1" t="str">
        <x:v>PASS</x:v>
      </x:c>
      <x:c r="D11" s="1" t="n">
        <x:v>0</x:v>
      </x:c>
      <x:c r="E11" s="1" t="str">
        <x:v>&lt;=0</x:v>
      </x:c>
      <x:c r="F11" s="1" t="str">
        <x:v>HIGH</x:v>
      </x:c>
      <x:c r="G11" s="1"/>
      <x:c r="H11" s="1" t="str">
        <x:v>RL06</x:v>
      </x:c>
      <x:c r="I11" s="1" t="str">
        <x:v>combined survival horizon</x:v>
      </x:c>
      <x:c r="J11" s="1" t="str">
        <x:v>WITHIN_LIMIT</x:v>
      </x:c>
      <x:c r="K11" s="1" t="n">
        <x:v>30</x:v>
      </x:c>
      <x:c r="L11" s="1" t="n">
        <x:v>30</x:v>
      </x:c>
      <x:c r="M11" s="1" t="str">
        <x:v>HIGH</x:v>
      </x:c>
    </x:row>
    <x:row r="12">
      <x:c r="A12" s="1" t="str">
        <x:v>DQ07</x:v>
      </x:c>
      <x:c r="B12" s="1" t="str">
        <x:v>accounting identity balances</x:v>
      </x:c>
      <x:c r="C12" s="1" t="str">
        <x:v>PASS</x:v>
      </x:c>
      <x:c r="D12" s="1" t="n">
        <x:v>-2.9103830456733704e-11</x:v>
      </x:c>
      <x:c r="E12" s="1" t="n">
        <x:v>0</x:v>
      </x:c>
      <x:c r="F12" s="1" t="str">
        <x:v>CRITICAL</x:v>
      </x:c>
      <x:c r="G12" s="1"/>
      <x:c r="H12" s="1" t="str">
        <x:v>RL07</x:v>
      </x:c>
      <x:c r="I12" s="1" t="str">
        <x:v>aggregate FX open position / equity</x:v>
      </x:c>
      <x:c r="J12" s="1" t="str">
        <x:v>BREACH</x:v>
      </x:c>
      <x:c r="K12" s="1" t="n">
        <x:v>33.333333</x:v>
      </x:c>
      <x:c r="L12" s="1" t="n">
        <x:v>20</x:v>
      </x:c>
      <x:c r="M12" s="1" t="str">
        <x:v>CRITICAL</x:v>
      </x:c>
    </x:row>
    <x:row r="13">
      <x:c r="A13" s="1" t="str">
        <x:v>DQ08</x:v>
      </x:c>
      <x:c r="B13" s="1" t="str">
        <x:v>principal cash flows reconcile</x:v>
      </x:c>
      <x:c r="C13" s="1" t="str">
        <x:v>PASS</x:v>
      </x:c>
      <x:c r="D13" s="1" t="n">
        <x:v>0.000004999999873689376</x:v>
      </x:c>
      <x:c r="E13" s="1" t="str">
        <x:v>&lt;0.0001</x:v>
      </x:c>
      <x:c r="F13" s="1" t="str">
        <x:v>CRITICAL</x:v>
      </x:c>
      <x:c r="G13" s="1"/>
      <x:c r="H13" s="1"/>
      <x:c r="I13" s="1"/>
      <x:c r="J13" s="1"/>
      <x:c r="K13" s="1"/>
      <x:c r="L13" s="1"/>
      <x:c r="M13" s="1"/>
    </x:row>
    <x:row r="14">
      <x:c r="A14" s="1" t="str">
        <x:v>DQ09</x:v>
      </x:c>
      <x:c r="B14" s="1" t="str">
        <x:v>all currencies have 19 curve points</x:v>
      </x:c>
      <x:c r="C14" s="1" t="str">
        <x:v>PASS</x:v>
      </x:c>
      <x:c r="D14" s="1" t="str">
        <x:v>{'EUR': 19, 'TRY': 19, 'USD': 19}</x:v>
      </x:c>
      <x:c r="E14" s="1" t="n">
        <x:v>19</x:v>
      </x:c>
      <x:c r="F14" s="1" t="str">
        <x:v>HIGH</x:v>
      </x:c>
      <x:c r="G14" s="1"/>
      <x:c r="H14" s="1"/>
      <x:c r="I14" s="1"/>
      <x:c r="J14" s="1"/>
      <x:c r="K14" s="1"/>
      <x:c r="L14" s="1"/>
      <x:c r="M14" s="1"/>
    </x:row>
    <x:row r="15">
      <x:c r="A15" s="1" t="str">
        <x:v>DQ10</x:v>
      </x:c>
      <x:c r="B15" s="1" t="str">
        <x:v>curve rates are finite</x:v>
      </x:c>
      <x:c r="C15" s="1" t="str">
        <x:v>PASS</x:v>
      </x:c>
      <x:c r="D15" s="1" t="n">
        <x:v>0</x:v>
      </x:c>
      <x:c r="E15" s="1" t="n">
        <x:v>0</x:v>
      </x:c>
      <x:c r="F15" s="1" t="str">
        <x:v>HIGH</x:v>
      </x:c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2" customHeight="1">
      <x:c r="A19" s="9" t="str">
        <x:v>Workbook integrity checks</x:v>
      </x:c>
      <x:c r="B19" s="9"/>
      <x:c r="C19" s="9"/>
      <x:c r="D19" s="9"/>
      <x:c r="E19" s="9"/>
      <x:c r="F19" s="9"/>
      <x:c r="G19" s="9"/>
      <x:c r="H19" s="1"/>
      <x:c r="I19" s="1"/>
      <x:c r="J19" s="1"/>
      <x:c r="K19" s="1"/>
      <x:c r="L19" s="1"/>
      <x:c r="M19" s="1"/>
    </x:row>
    <x:row r="20" ht="28" customHeight="1">
      <x:c r="A20" s="24" t="str">
        <x:v>Check</x:v>
      </x:c>
      <x:c r="B20" s="24" t="str">
        <x:v>Actual</x:v>
      </x:c>
      <x:c r="C20" s="24" t="str">
        <x:v>Expected</x:v>
      </x:c>
      <x:c r="D20" s="24" t="str">
        <x:v>Difference</x:v>
      </x:c>
      <x:c r="E20" s="24" t="str">
        <x:v>Tolerance</x:v>
      </x:c>
      <x:c r="F20" s="24" t="str">
        <x:v>Status</x:v>
      </x:c>
      <x:c r="G20" s="24" t="str">
        <x:v>Notes</x:v>
      </x:c>
      <x:c r="H20" s="1"/>
      <x:c r="I20" s="1"/>
      <x:c r="J20" s="1"/>
      <x:c r="K20" s="1"/>
      <x:c r="L20" s="1"/>
      <x:c r="M20" s="1"/>
    </x:row>
    <x:row r="21">
      <x:c r="A21" s="1" t="str">
        <x:v>Accounting identity</x:v>
      </x:c>
      <x:c r="B21" s="33" t="n">
        <x:f>'Balance Sheet'!F28</x:f>
        <x:v>0</x:v>
      </x:c>
      <x:c r="C21" s="1" t="n">
        <x:v>0</x:v>
      </x:c>
      <x:c r="D21" s="1" t="n">
        <x:f>B21-C21</x:f>
        <x:v>0</x:v>
      </x:c>
      <x:c r="E21" s="1" t="n">
        <x:v>0.01</x:v>
      </x:c>
      <x:c r="F21" s="1" t="str">
        <x:f>IF(ABS(D21)&lt;=E21,"OK","FAIL")</x:f>
        <x:v>OK</x:v>
      </x:c>
      <x:c r="G21" s="1" t="str">
        <x:v>Assets = liabilities + equity</x:v>
      </x:c>
      <x:c r="H21" s="1"/>
      <x:c r="I21" s="1"/>
      <x:c r="J21" s="1"/>
      <x:c r="K21" s="1"/>
      <x:c r="L21" s="1"/>
      <x:c r="M21" s="1"/>
    </x:row>
    <x:row r="22">
      <x:c r="A22" s="1" t="str">
        <x:v>Prescribed EVE scenarios</x:v>
      </x:c>
      <x:c r="B22" s="33" t="n">
        <x:f>COUNTA('IRRBB EVE'!H6:H11)</x:f>
        <x:v>6</x:v>
      </x:c>
      <x:c r="C22" s="1" t="n">
        <x:v>6</x:v>
      </x:c>
      <x:c r="D22" s="1" t="n">
        <x:f>B22-C22</x:f>
        <x:v>0</x:v>
      </x:c>
      <x:c r="E22" s="1" t="n">
        <x:v>0</x:v>
      </x:c>
      <x:c r="F22" s="1" t="str">
        <x:f>IF(D22=E22,"OK","FAIL")</x:f>
        <x:v>OK</x:v>
      </x:c>
      <x:c r="G22" s="1" t="str">
        <x:v>All six Basel scenarios present</x:v>
      </x:c>
      <x:c r="H22" s="1"/>
      <x:c r="I22" s="1"/>
      <x:c r="J22" s="1"/>
      <x:c r="K22" s="1"/>
      <x:c r="L22" s="1"/>
      <x:c r="M22" s="1"/>
    </x:row>
    <x:row r="23">
      <x:c r="A23" s="1" t="str">
        <x:v>Data quality passes</x:v>
      </x:c>
      <x:c r="B23" s="33" t="n">
        <x:f>COUNTIF(C6:C15,"PASS")</x:f>
        <x:v>10</x:v>
      </x:c>
      <x:c r="C23" s="1" t="n">
        <x:v>10</x:v>
      </x:c>
      <x:c r="D23" s="1" t="n">
        <x:f>B23-C23</x:f>
        <x:v>0</x:v>
      </x:c>
      <x:c r="E23" s="1" t="n">
        <x:v>0</x:v>
      </x:c>
      <x:c r="F23" s="1" t="str">
        <x:f>IF(D23=E23,"OK","FAIL")</x:f>
        <x:v>OK</x:v>
      </x:c>
      <x:c r="G23" s="1" t="str">
        <x:v>All DQ controls pass</x:v>
      </x:c>
      <x:c r="H23" s="1"/>
      <x:c r="I23" s="1"/>
      <x:c r="J23" s="1"/>
      <x:c r="K23" s="1"/>
      <x:c r="L23" s="1"/>
      <x:c r="M23" s="1"/>
    </x:row>
    <x:row r="24">
      <x:c r="A24" s="1" t="str">
        <x:v>Risk controls evaluated</x:v>
      </x:c>
      <x:c r="B24" s="33" t="n">
        <x:f>COUNTA(J6:J12)</x:f>
        <x:v>7</x:v>
      </x:c>
      <x:c r="C24" s="1" t="n">
        <x:v>7</x:v>
      </x:c>
      <x:c r="D24" s="1" t="n">
        <x:f>B24-C24</x:f>
        <x:v>0</x:v>
      </x:c>
      <x:c r="E24" s="1" t="n">
        <x:v>0</x:v>
      </x:c>
      <x:c r="F24" s="1" t="str">
        <x:f>IF(D24=E24,"OK","FAIL")</x:f>
        <x:v>OK</x:v>
      </x:c>
      <x:c r="G24" s="1" t="str">
        <x:v>Includes deliberate business-risk flags</x:v>
      </x:c>
      <x:c r="H24" s="1"/>
      <x:c r="I24" s="1"/>
      <x:c r="J24" s="1"/>
      <x:c r="K24" s="1"/>
      <x:c r="L24" s="1"/>
      <x:c r="M24" s="1"/>
    </x:row>
    <x:row r="25">
      <x:c r="A25" s="1" t="str">
        <x:v>FX breach surfaced</x:v>
      </x:c>
      <x:c r="B25" s="33" t="n">
        <x:f>COUNTIF(J6:J12,"BREACH")</x:f>
        <x:v>1</x:v>
      </x:c>
      <x:c r="C25" s="1" t="n">
        <x:v>1</x:v>
      </x:c>
      <x:c r="D25" s="1" t="n">
        <x:f>B25-C25</x:f>
        <x:v>0</x:v>
      </x:c>
      <x:c r="E25" s="1" t="n">
        <x:v>0</x:v>
      </x:c>
      <x:c r="F25" s="1" t="str">
        <x:f>IF(D25=E25,"OK","FAIL")</x:f>
        <x:v>OK</x:v>
      </x:c>
      <x:c r="G25" s="1" t="str">
        <x:v>A risk breach is a decision signal, not a model defect</x:v>
      </x:c>
      <x:c r="H25" s="1"/>
      <x:c r="I25" s="1"/>
      <x:c r="J25" s="1"/>
      <x:c r="K25" s="1"/>
      <x:c r="L25" s="1"/>
      <x:c r="M25" s="1"/>
    </x:row>
    <x:row r="26">
      <x:c r="A26" s="1" t="str">
        <x:v>Negative position balances</x:v>
      </x:c>
      <x:c r="B26" s="33" t="n">
        <x:f>COUNTIF('Positions Raw'!G5:G153,"&lt;0")</x:f>
        <x:v>0</x:v>
      </x:c>
      <x:c r="C26" s="1" t="n">
        <x:v>0</x:v>
      </x:c>
      <x:c r="D26" s="1" t="n">
        <x:f>B26-C26</x:f>
        <x:v>0</x:v>
      </x:c>
      <x:c r="E26" s="1" t="n">
        <x:v>0</x:v>
      </x:c>
      <x:c r="F26" s="1" t="str">
        <x:f>IF(D26=E26,"OK","FAIL")</x:f>
        <x:v>OK</x:v>
      </x:c>
      <x:c r="G26" s="1" t="str">
        <x:v>Source balances remain positive</x:v>
      </x:c>
      <x:c r="H26" s="1"/>
      <x:c r="I26" s="1"/>
      <x:c r="J26" s="1"/>
      <x:c r="K26" s="1"/>
      <x:c r="L26" s="1"/>
      <x:c r="M26" s="1"/>
    </x:row>
    <x:row r="27">
      <x:c r="A27" s="1" t="str">
        <x:v>Official/method sources</x:v>
      </x:c>
      <x:c r="B27" s="33" t="n">
        <x:f>COUNTA(Sources!A5:A13)</x:f>
        <x:v>9</x:v>
      </x:c>
      <x:c r="C27" s="1" t="n">
        <x:v>9</x:v>
      </x:c>
      <x:c r="D27" s="1" t="n">
        <x:f>B27-C27</x:f>
        <x:v>0</x:v>
      </x:c>
      <x:c r="E27" s="1" t="n">
        <x:v>0</x:v>
      </x:c>
      <x:c r="F27" s="1" t="str">
        <x:f>IF(D27=E27,"OK","FAIL")</x:f>
        <x:v>OK</x:v>
      </x:c>
      <x:c r="G27" s="1" t="str">
        <x:v>Full source register present</x:v>
      </x:c>
      <x:c r="H27" s="1"/>
      <x:c r="I27" s="1"/>
      <x:c r="J27" s="1"/>
      <x:c r="K27" s="1"/>
      <x:c r="L27" s="1"/>
      <x:c r="M27" s="1"/>
    </x:row>
    <x:row r="28">
      <x:c r="A28" s="1" t="str">
        <x:v>Hedge approvals pending</x:v>
      </x:c>
      <x:c r="B28" s="33" t="n">
        <x:f>COUNTIF('FX &amp; Hedge'!I15:I19,"ALCO_REVIEW_REQUIRED")</x:f>
        <x:v>5</x:v>
      </x:c>
      <x:c r="C28" s="1" t="n">
        <x:v>5</x:v>
      </x:c>
      <x:c r="D28" s="1" t="n">
        <x:f>B28-C28</x:f>
        <x:v>0</x:v>
      </x:c>
      <x:c r="E28" s="1" t="n">
        <x:v>0</x:v>
      </x:c>
      <x:c r="F28" s="1" t="str">
        <x:f>IF(D28=E28,"OK","FAIL")</x:f>
        <x:v>OK</x:v>
      </x:c>
      <x:c r="G28" s="1" t="str">
        <x:v>No recommendation is marked pre-approved</x:v>
      </x:c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92" t="str">
        <x:v>MODEL STATUS</x:v>
      </x:c>
      <x:c r="B30" s="93"/>
      <x:c r="C30" s="93"/>
      <x:c r="D30" s="93"/>
      <x:c r="E30" s="93"/>
      <x:c r="F30" s="93" t="str">
        <x:f>IF(COUNTIF(F21:F28,"FAIL")=0,"OK - RISK FLAGS SURFACED","REVIEW REQUIRED")</x:f>
        <x:v>OK - RISK FLAGS SURFACED</x:v>
      </x:c>
      <x:c r="G30" s="94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mergeCells>
    <x:mergeCell ref="A1:M1"/>
    <x:mergeCell ref="A2:M2"/>
    <x:mergeCell ref="A4:F4"/>
    <x:mergeCell ref="H4:M4"/>
    <x:mergeCell ref="A19:G19"/>
    <x:mergeCell ref="A30:E30"/>
    <x:mergeCell ref="F30:G30"/>
  </x:mergeCells>
  <x:conditionalFormatting sqref="C6:C15">
    <x:cfRule type="containsText" dxfId="0" priority="1" operator="containsText" text="BREACH"/>
    <x:cfRule type="containsText" dxfId="1" priority="2" operator="containsText" text="FAIL"/>
    <x:cfRule type="containsText" dxfId="2" priority="3" operator="containsText" text="PASS"/>
    <x:cfRule type="containsText" dxfId="3" priority="4" operator="containsText" text="WITHIN_LIMIT"/>
    <x:cfRule type="containsText" dxfId="4" priority="5" operator="containsText" text="OK"/>
  </x:conditionalFormatting>
  <x:conditionalFormatting sqref="J6:J12">
    <x:cfRule type="containsText" dxfId="5" priority="6" operator="containsText" text="BREACH"/>
    <x:cfRule type="containsText" dxfId="6" priority="7" operator="containsText" text="FAIL"/>
    <x:cfRule type="containsText" dxfId="7" priority="8" operator="containsText" text="PASS"/>
    <x:cfRule type="containsText" dxfId="8" priority="9" operator="containsText" text="WITHIN_LIMIT"/>
    <x:cfRule type="containsText" dxfId="9" priority="10" operator="containsText" text="OK"/>
  </x:conditionalFormatting>
  <x:conditionalFormatting sqref="F21:F28">
    <x:cfRule type="containsText" dxfId="10" priority="11" operator="containsText" text="BREACH"/>
    <x:cfRule type="containsText" dxfId="11" priority="12" operator="containsText" text="FAIL"/>
    <x:cfRule type="containsText" dxfId="12" priority="13" operator="containsText" text="PASS"/>
    <x:cfRule type="containsText" dxfId="13" priority="14" operator="containsText" text="WITHIN_LIMIT"/>
    <x:cfRule type="containsText" dxfId="14" priority="15" operator="containsText" text="OK"/>
  </x:conditionalFormatting>
  <x:conditionalFormatting sqref="F30:G30">
    <x:cfRule type="containsText" dxfId="15" priority="16" operator="containsText" text="BREACH"/>
    <x:cfRule type="containsText" dxfId="16" priority="17" operator="containsText" text="FAIL"/>
    <x:cfRule type="containsText" dxfId="17" priority="18" operator="containsText" text="PASS"/>
    <x:cfRule type="containsText" dxfId="18" priority="19" operator="containsText" text="WITHIN_LIMIT"/>
    <x:cfRule type="containsText" dxfId="19" priority="20" operator="containsText" text="OK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18" hidden="0" customWidth="1"/>
    <x:col min="4" max="4" width="42" hidden="0" customWidth="1"/>
    <x:col min="5" max="5" width="21" hidden="0" customWidth="1"/>
    <x:col min="6" max="6" width="21" hidden="0" customWidth="1"/>
    <x:col min="7" max="7" width="58" hidden="0" customWidth="1"/>
    <x:col min="8" max="8" width="24" hidden="0" customWidth="1"/>
    <x:col min="9" max="9" width="42" hidden="0" customWidth="1"/>
  </x:cols>
  <x:sheetData>
    <x:row r="1" ht="32" customHeight="1">
      <x:c r="A1" s="4" t="str">
        <x:v>Sources and Audit Trail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7" t="str">
        <x:v>Official observations, regulatory methodology and synthetic data classifications are kept distinct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28" customHeight="1">
      <x:c r="A4" s="24" t="str">
        <x:v>Source ID</x:v>
      </x:c>
      <x:c r="B4" s="24" t="str">
        <x:v>Item</x:v>
      </x:c>
      <x:c r="C4" s="24" t="str">
        <x:v>As of / effective</x:v>
      </x:c>
      <x:c r="D4" s="24" t="str">
        <x:v>Value</x:v>
      </x:c>
      <x:c r="E4" s="24" t="str">
        <x:v>Unit</x:v>
      </x:c>
      <x:c r="F4" s="24" t="str">
        <x:v>Source</x:v>
      </x:c>
      <x:c r="G4" s="24" t="str">
        <x:v>URL</x:v>
      </x:c>
      <x:c r="H4" s="24" t="str">
        <x:v>Classification</x:v>
      </x:c>
      <x:c r="I4" s="24" t="str">
        <x:v>Audit note</x:v>
      </x:c>
    </x:row>
    <x:row r="5" ht="42" customHeight="1">
      <x:c r="A5" s="1" t="str">
        <x:v>BIS-IRRBB-2024</x:v>
      </x:c>
      <x:c r="B5" s="1" t="str">
        <x:v>IRRBB calibration and six scenarios</x:v>
      </x:c>
      <x:c r="C5" s="1" t="str">
        <x:v>2026-01-01</x:v>
      </x:c>
      <x:c r="D5" s="88" t="str">
        <x:v>TRY 400/500/300; USD 200/300/225; EUR 225/350/200</x:v>
      </x:c>
      <x:c r="E5" s="1" t="str">
        <x:v>basis points</x:v>
      </x:c>
      <x:c r="F5" s="1" t="str">
        <x:v>Basel Committee on Banking Supervision</x:v>
      </x:c>
      <x:c r="G5" s="88" t="str">
        <x:v>https://www.bis.org/bcbs/publ/d578.pdf</x:v>
      </x:c>
      <x:c r="H5" s="88" t="str">
        <x:v>official_methodology</x:v>
      </x:c>
      <x:c r="I5" s="88" t="str">
        <x:v>Revised shocks implemented from 1 January 2026</x:v>
      </x:c>
    </x:row>
    <x:row r="6" ht="42" customHeight="1">
      <x:c r="A6" s="1" t="str">
        <x:v>BIS-LCR</x:v>
      </x:c>
      <x:c r="B6" s="1" t="str">
        <x:v>Liquidity Coverage Ratio framework</x:v>
      </x:c>
      <x:c r="C6" s="1" t="str">
        <x:v>current framework</x:v>
      </x:c>
      <x:c r="D6" s="88" t="str">
        <x:v>HQLA / 30-day net cash outflows</x:v>
      </x:c>
      <x:c r="E6" s="1" t="str">
        <x:v>ratio</x:v>
      </x:c>
      <x:c r="F6" s="1" t="str">
        <x:v>Bank for International Settlements</x:v>
      </x:c>
      <x:c r="G6" s="88" t="str">
        <x:v>https://www.bis.org/basel_framework/chapter/LCR/20.htm</x:v>
      </x:c>
      <x:c r="H6" s="88" t="str">
        <x:v>official_methodology</x:v>
      </x:c>
      <x:c r="I6" s="88" t="str">
        <x:v>Workbook output is labelled proxy, not a regulatory return</x:v>
      </x:c>
    </x:row>
    <x:row r="7" ht="42" customHeight="1">
      <x:c r="A7" s="1" t="str">
        <x:v>BIS-NSFR</x:v>
      </x:c>
      <x:c r="B7" s="1" t="str">
        <x:v>Net Stable Funding Ratio framework</x:v>
      </x:c>
      <x:c r="C7" s="1" t="str">
        <x:v>current framework</x:v>
      </x:c>
      <x:c r="D7" s="88" t="str">
        <x:v>ASF / RSF</x:v>
      </x:c>
      <x:c r="E7" s="1" t="str">
        <x:v>ratio</x:v>
      </x:c>
      <x:c r="F7" s="1" t="str">
        <x:v>Bank for International Settlements</x:v>
      </x:c>
      <x:c r="G7" s="88" t="str">
        <x:v>https://www.bis.org/basel_framework/chapter/NSF/20.htm</x:v>
      </x:c>
      <x:c r="H7" s="88" t="str">
        <x:v>official_methodology</x:v>
      </x:c>
      <x:c r="I7" s="88" t="str">
        <x:v>Workbook output is labelled proxy, not a regulatory return</x:v>
      </x:c>
    </x:row>
    <x:row r="8" ht="42" customHeight="1">
      <x:c r="A8" s="1" t="str">
        <x:v>TCMB-POLICY</x:v>
      </x:c>
      <x:c r="B8" s="1" t="str">
        <x:v>Policy rate</x:v>
      </x:c>
      <x:c r="C8" s="1" t="str">
        <x:v>2026-08-19</x:v>
      </x:c>
      <x:c r="D8" s="88" t="n">
        <x:v>0.37</x:v>
      </x:c>
      <x:c r="E8" s="1" t="str">
        <x:v>percent</x:v>
      </x:c>
      <x:c r="F8" s="1" t="str">
        <x:v>TCMB</x:v>
      </x:c>
      <x:c r="G8" s="88" t="str">
        <x:v>https://www.tcmb.gov.tr/wps/wcm/connect/tr/tcmb+tr/main+menu/duyurular/basin/2026/duy2026-23</x:v>
      </x:c>
      <x:c r="H8" s="88" t="str">
        <x:v>official_observation</x:v>
      </x:c>
      <x:c r="I8" s="88" t="str">
        <x:v>Reference market context; not used as a bank position</x:v>
      </x:c>
    </x:row>
    <x:row r="9" ht="42" customHeight="1">
      <x:c r="A9" s="1" t="str">
        <x:v>TCMB-FX-USD</x:v>
      </x:c>
      <x:c r="B9" s="1" t="str">
        <x:v>USD/TRY buying rate</x:v>
      </x:c>
      <x:c r="C9" s="1" t="str">
        <x:v>2026-08-19</x:v>
      </x:c>
      <x:c r="D9" s="88" t="n">
        <x:v>47.8467</x:v>
      </x:c>
      <x:c r="E9" s="1" t="str">
        <x:v>TRY per USD</x:v>
      </x:c>
      <x:c r="F9" s="1" t="str">
        <x:v>TCMB via e-Devlet</x:v>
      </x:c>
      <x:c r="G9" s="88" t="str">
        <x:v>https://www.turkiye.gov.tr/doviz-kurlari</x:v>
      </x:c>
      <x:c r="H9" s="88" t="str">
        <x:v>official_observation</x:v>
      </x:c>
      <x:c r="I9" s="88" t="str">
        <x:v>Public market observation</x:v>
      </x:c>
    </x:row>
    <x:row r="10" ht="42" customHeight="1">
      <x:c r="A10" s="1" t="str">
        <x:v>TCMB-FX-EUR</x:v>
      </x:c>
      <x:c r="B10" s="1" t="str">
        <x:v>EUR/TRY buying rate</x:v>
      </x:c>
      <x:c r="C10" s="1" t="str">
        <x:v>2026-08-19</x:v>
      </x:c>
      <x:c r="D10" s="88" t="n">
        <x:v>55.5061</x:v>
      </x:c>
      <x:c r="E10" s="1" t="str">
        <x:v>TRY per EUR</x:v>
      </x:c>
      <x:c r="F10" s="1" t="str">
        <x:v>TCMB via e-Devlet</x:v>
      </x:c>
      <x:c r="G10" s="88" t="str">
        <x:v>https://www.turkiye.gov.tr/doviz-kurlari</x:v>
      </x:c>
      <x:c r="H10" s="88" t="str">
        <x:v>official_observation</x:v>
      </x:c>
      <x:c r="I10" s="88" t="str">
        <x:v>Public market observation</x:v>
      </x:c>
    </x:row>
    <x:row r="11" ht="42" customHeight="1">
      <x:c r="A11" s="1" t="str">
        <x:v>BDDK-2026-06</x:v>
      </x:c>
      <x:c r="B11" s="1" t="str">
        <x:v>Turkish banking sector snapshot</x:v>
      </x:c>
      <x:c r="C11" s="1" t="str">
        <x:v>2026-06-30</x:v>
      </x:c>
      <x:c r="D11" s="88" t="str">
        <x:v>Assets 52,727,562; loans 26,791,320; deposits 30,109,453</x:v>
      </x:c>
      <x:c r="E11" s="1" t="str">
        <x:v>TRY million</x:v>
      </x:c>
      <x:c r="F11" s="1" t="str">
        <x:v>BDDK</x:v>
      </x:c>
      <x:c r="G11" s="88" t="str">
        <x:v>https://www.bddk.org.tr/BultenAylik/tr/Home/HaberBulteni</x:v>
      </x:c>
      <x:c r="H11" s="88" t="str">
        <x:v>official_benchmark</x:v>
      </x:c>
      <x:c r="I11" s="88" t="str">
        <x:v>Contextual benchmark only; Aurelia bank is fictional</x:v>
      </x:c>
    </x:row>
    <x:row r="12" ht="42" customHeight="1">
      <x:c r="A12" s="1" t="str">
        <x:v>AURELIA-SYNTH</x:v>
      </x:c>
      <x:c r="B12" s="1" t="str">
        <x:v>Bank positions, curves and cash flows</x:v>
      </x:c>
      <x:c r="C12" s="1" t="str">
        <x:v>2026-08-19</x:v>
      </x:c>
      <x:c r="D12" s="88" t="str">
        <x:v>Deterministic seed 20260819</x:v>
      </x:c>
      <x:c r="E12" s="1" t="str">
        <x:v>n/a</x:v>
      </x:c>
      <x:c r="F12" s="1" t="str">
        <x:v>Project generator</x:v>
      </x:c>
      <x:c r="G12" s="88" t="str">
        <x:v>docs/data_provenance.md</x:v>
      </x:c>
      <x:c r="H12" s="88" t="str">
        <x:v>controlled_synthetic</x:v>
      </x:c>
      <x:c r="I12" s="88" t="str">
        <x:v>No customer data, PII or confidential bank data</x:v>
      </x:c>
    </x:row>
    <x:row r="13" ht="42" customHeight="1">
      <x:c r="A13" s="1" t="str">
        <x:v>AURELIA-DIGITAL-RUN</x:v>
      </x:c>
      <x:c r="B13" s="1" t="str">
        <x:v>Rapid digital deposit-run assumptions</x:v>
      </x:c>
      <x:c r="C13" s="1" t="str">
        <x:v>2026-08-21</x:v>
      </x:c>
      <x:c r="D13" s="88" t="str">
        <x:v>45% demand; 30% term; 55% day 1; 85% day 7</x:v>
      </x:c>
      <x:c r="E13" s="1" t="str">
        <x:v>scenario parameters</x:v>
      </x:c>
      <x:c r="F13" s="1" t="str">
        <x:v>Internal ALCO demonstration scenario</x:v>
      </x:c>
      <x:c r="G13" s="88" t="str">
        <x:v>docs/rapid_digital_run_scenario.md</x:v>
      </x:c>
      <x:c r="H13" s="88" t="str">
        <x:v>controlled_internal_assumption</x:v>
      </x:c>
      <x:c r="I13" s="88" t="str">
        <x:v>Severe exploratory vulnerability test; not a forecast or regulatory calibration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</x:sheetData>
  <x:mergeCells>
    <x:mergeCell ref="A1:I1"/>
    <x:mergeCell ref="A2:I2"/>
  </x:mergeCells>
  <x:pageMargins left="0.7" right="0.7" top="0.75" bottom="0.75" header="0.3" footer="0.3"/>
</x:worksheet>
</file>